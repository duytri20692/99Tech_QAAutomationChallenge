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.nguyen\Downloads\TRI NGUYEN\Ca nhan\99Tech_QA Lead_Coding changelange\demoblaze-e2e\demoblaze-e2e\docs\"/>
    </mc:Choice>
  </mc:AlternateContent>
  <xr:revisionPtr revIDLastSave="0" documentId="13_ncr:1_{E97A8B0D-EC7C-4302-A707-19209DCB28F4}" xr6:coauthVersionLast="47" xr6:coauthVersionMax="47" xr10:uidLastSave="{00000000-0000-0000-0000-000000000000}"/>
  <bookViews>
    <workbookView xWindow="-120" yWindow="-120" windowWidth="29040" windowHeight="15720" activeTab="4" xr2:uid="{1F2EEE7E-83EB-4A86-8019-159212BE9892}"/>
  </bookViews>
  <sheets>
    <sheet name="Summary" sheetId="1" r:id="rId1"/>
    <sheet name="Legend" sheetId="2" r:id="rId2"/>
    <sheet name="Login" sheetId="3" r:id="rId3"/>
    <sheet name="Cart" sheetId="4" r:id="rId4"/>
    <sheet name="Defects &amp; Observ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" i="1" l="1"/>
  <c r="C29" i="1"/>
  <c r="C28" i="1"/>
  <c r="C27" i="1"/>
  <c r="C26" i="1"/>
  <c r="B30" i="1"/>
  <c r="B29" i="1"/>
  <c r="B28" i="1"/>
  <c r="B27" i="1"/>
  <c r="B26" i="1"/>
  <c r="C22" i="1"/>
  <c r="B22" i="1"/>
  <c r="C21" i="1"/>
  <c r="C23" i="1" s="1"/>
  <c r="B21" i="1"/>
  <c r="C17" i="1"/>
  <c r="B17" i="1"/>
  <c r="C16" i="1"/>
  <c r="B16" i="1"/>
  <c r="C15" i="1"/>
  <c r="B15" i="1"/>
  <c r="C14" i="1"/>
  <c r="C18" i="1" s="1"/>
  <c r="B14" i="1"/>
  <c r="C10" i="1"/>
  <c r="B10" i="1"/>
  <c r="D10" i="1" s="1"/>
  <c r="C9" i="1"/>
  <c r="B9" i="1"/>
  <c r="C8" i="1"/>
  <c r="B8" i="1"/>
  <c r="C7" i="1"/>
  <c r="B7" i="1"/>
  <c r="C6" i="1"/>
  <c r="B6" i="1"/>
  <c r="C5" i="1"/>
  <c r="B5" i="1"/>
  <c r="D6" i="1" l="1"/>
  <c r="D5" i="1"/>
  <c r="D11" i="1" s="1"/>
  <c r="D22" i="1"/>
  <c r="D9" i="1"/>
  <c r="C31" i="1"/>
  <c r="C33" i="1"/>
  <c r="D30" i="1"/>
  <c r="D29" i="1"/>
  <c r="D28" i="1"/>
  <c r="D17" i="1"/>
  <c r="D15" i="1"/>
  <c r="D16" i="1"/>
  <c r="B33" i="1"/>
  <c r="D27" i="1"/>
  <c r="B31" i="1"/>
  <c r="D26" i="1"/>
  <c r="B23" i="1"/>
  <c r="D21" i="1"/>
  <c r="D14" i="1"/>
  <c r="B18" i="1"/>
  <c r="B11" i="1"/>
  <c r="D8" i="1"/>
  <c r="C11" i="1"/>
  <c r="D7" i="1"/>
  <c r="D23" i="1" l="1"/>
  <c r="D31" i="1"/>
  <c r="D33" i="1"/>
  <c r="D18" i="1"/>
</calcChain>
</file>

<file path=xl/sharedStrings.xml><?xml version="1.0" encoding="utf-8"?>
<sst xmlns="http://schemas.openxmlformats.org/spreadsheetml/2006/main" count="987" uniqueCount="417">
  <si>
    <t>Application under test: https://www.demoblaze.com</t>
  </si>
  <si>
    <t>By Type</t>
  </si>
  <si>
    <t>Login</t>
  </si>
  <si>
    <t>Cart</t>
  </si>
  <si>
    <t>Total</t>
  </si>
  <si>
    <t>Functional</t>
  </si>
  <si>
    <t>Negative</t>
  </si>
  <si>
    <t>Edge</t>
  </si>
  <si>
    <t>UI</t>
  </si>
  <si>
    <t>Security</t>
  </si>
  <si>
    <t>Compatibility</t>
  </si>
  <si>
    <t>By Priority</t>
  </si>
  <si>
    <t>Critical</t>
  </si>
  <si>
    <t>High</t>
  </si>
  <si>
    <t>Medium</t>
  </si>
  <si>
    <t>Low</t>
  </si>
  <si>
    <t>By Automation</t>
  </si>
  <si>
    <t>Automated</t>
  </si>
  <si>
    <t>Manual</t>
  </si>
  <si>
    <t>Execution Status</t>
  </si>
  <si>
    <t>Not Run</t>
  </si>
  <si>
    <t>Pass</t>
  </si>
  <si>
    <t>Fail</t>
  </si>
  <si>
    <t>Blocked</t>
  </si>
  <si>
    <t>Skipped</t>
  </si>
  <si>
    <t>Pass rate (of executed)</t>
  </si>
  <si>
    <t>How to use this workbook</t>
  </si>
  <si>
    <t>Scope</t>
  </si>
  <si>
    <t>Login and Cart (incl. Place Order) features of https://www.demoblaze.com</t>
  </si>
  <si>
    <t>Sheets</t>
  </si>
  <si>
    <t>Summary (live counts), Login, Cart, Defects &amp; Observations, Legend</t>
  </si>
  <si>
    <t>Cells to fill in</t>
  </si>
  <si>
    <t>Type</t>
  </si>
  <si>
    <t>Priority</t>
  </si>
  <si>
    <t>Automation</t>
  </si>
  <si>
    <t>Example execution entry</t>
  </si>
  <si>
    <t>TC ID</t>
  </si>
  <si>
    <t>Module</t>
  </si>
  <si>
    <t>Feature</t>
  </si>
  <si>
    <t>Title</t>
  </si>
  <si>
    <t>Preconditions</t>
  </si>
  <si>
    <t>Test Data</t>
  </si>
  <si>
    <t>Test Steps</t>
  </si>
  <si>
    <t>Expected Result</t>
  </si>
  <si>
    <t>Actual Result</t>
  </si>
  <si>
    <t>Executed By / Date</t>
  </si>
  <si>
    <t>Notes / Defect</t>
  </si>
  <si>
    <t>TC_LOGIN_001</t>
  </si>
  <si>
    <t>Login modal</t>
  </si>
  <si>
    <t>Open the login modal from the navigation bar</t>
  </si>
  <si>
    <t>-</t>
  </si>
  <si>
    <t>1. Open the home page
2. Click 'Log in' in the navigation bar</t>
  </si>
  <si>
    <t>Login modal opens with title 'Log in', Username and Password fields, 'Close' and 'Log in' buttons</t>
  </si>
  <si>
    <t>TC_LOGIN_002</t>
  </si>
  <si>
    <t>Login modal fields are displayed and password is masked</t>
  </si>
  <si>
    <t>Password: any text</t>
  </si>
  <si>
    <t>1. Open the login modal
2. Inspect the fields
3. Type text into Password</t>
  </si>
  <si>
    <t>TC_LOGIN_003</t>
  </si>
  <si>
    <t>Valid login</t>
  </si>
  <si>
    <t>Log in with valid credentials</t>
  </si>
  <si>
    <t>Registered user account exists (e.g. created via Sign up)</t>
  </si>
  <si>
    <t>Valid username / password</t>
  </si>
  <si>
    <t>1. Open the login modal
2. Enter valid username
3. Enter valid password
4. Click 'Log in'</t>
  </si>
  <si>
    <t>Demo scenario</t>
  </si>
  <si>
    <t>TC_LOGIN_004</t>
  </si>
  <si>
    <t>Session</t>
  </si>
  <si>
    <t>Session persists after page reload</t>
  </si>
  <si>
    <t>User is logged in</t>
  </si>
  <si>
    <t>1. Log in with valid credentials
2. Reload the page (F5)</t>
  </si>
  <si>
    <t>TC_LOGIN_005</t>
  </si>
  <si>
    <t>Session persists across pages</t>
  </si>
  <si>
    <t>1. Log in
2. Open a product page
3. Open Cart
4. Return to Home</t>
  </si>
  <si>
    <t>'Welcome &lt;username&gt;' is shown on every page</t>
  </si>
  <si>
    <t>TC_LOGIN_006</t>
  </si>
  <si>
    <t>Logout</t>
  </si>
  <si>
    <t>Log out</t>
  </si>
  <si>
    <t>1. Log in
2. Click 'Log out'</t>
  </si>
  <si>
    <t>TC_LOGIN_007</t>
  </si>
  <si>
    <t>Usability</t>
  </si>
  <si>
    <t>Submit login with the Enter key</t>
  </si>
  <si>
    <t>1. Open the login modal
2. Enter valid credentials
3. Press Enter in the Password field</t>
  </si>
  <si>
    <t>TC_LOGIN_008</t>
  </si>
  <si>
    <t>Invalid login</t>
  </si>
  <si>
    <t>Wrong password</t>
  </si>
  <si>
    <t>Valid username / wrong password</t>
  </si>
  <si>
    <t>1. Open the login modal
2. Enter valid username and an incorrect password
3. Click 'Log in'</t>
  </si>
  <si>
    <t>TC_LOGIN_009</t>
  </si>
  <si>
    <t>Unregistered username</t>
  </si>
  <si>
    <t>Username that was never registered</t>
  </si>
  <si>
    <t>1. Open the login modal
2. Enter an unregistered username and any password
3. Click 'Log in'</t>
  </si>
  <si>
    <t>TC_LOGIN_010</t>
  </si>
  <si>
    <t>Validation</t>
  </si>
  <si>
    <t>Both fields empty</t>
  </si>
  <si>
    <t>Username: (empty) / Password: (empty)</t>
  </si>
  <si>
    <t>1. Open the login modal
2. Leave both fields empty
3. Click 'Log in'</t>
  </si>
  <si>
    <t>TC_LOGIN_011</t>
  </si>
  <si>
    <t>Password empty</t>
  </si>
  <si>
    <t>Valid username / Password: (empty)</t>
  </si>
  <si>
    <t>1. Open the login modal
2. Enter username only
3. Click 'Log in'</t>
  </si>
  <si>
    <t>TC_LOGIN_012</t>
  </si>
  <si>
    <t>Username empty</t>
  </si>
  <si>
    <t>Username: (empty) / valid password</t>
  </si>
  <si>
    <t>1. Open the login modal
2. Enter password only
3. Click 'Log in'</t>
  </si>
  <si>
    <t>TC_LOGIN_013</t>
  </si>
  <si>
    <t>Username in different letter case</t>
  </si>
  <si>
    <t>e.g. registered 'qaUser' entered as 'QAUSER'</t>
  </si>
  <si>
    <t>1. Open the login modal
2. Enter the registered username with different case and the correct password
3. Click 'Log in'</t>
  </si>
  <si>
    <t>Behaviour is consistent with the sign-up rules (usernames treated as case-sensitive: 'User does not exist.')</t>
  </si>
  <si>
    <t>TC_LOGIN_014</t>
  </si>
  <si>
    <t>Username with leading/trailing spaces</t>
  </si>
  <si>
    <t>' &lt;username&gt; '</t>
  </si>
  <si>
    <t>1. Open the login modal
2. Enter the valid username surrounded by spaces and the correct password
3. Click 'Log in'</t>
  </si>
  <si>
    <t>TC_LOGIN_015</t>
  </si>
  <si>
    <t>Password in different letter case</t>
  </si>
  <si>
    <t>Correct password with letter case swapped</t>
  </si>
  <si>
    <t>1. Open the login modal
2. Enter valid username and the password with swapped case
3. Click 'Log in'</t>
  </si>
  <si>
    <t>TC_LOGIN_016</t>
  </si>
  <si>
    <t>Boundary</t>
  </si>
  <si>
    <t>Very long username (300 characters)</t>
  </si>
  <si>
    <t>'a' x 300</t>
  </si>
  <si>
    <t>1. Open the login modal
2. Enter a 300-character username and any password
3. Click 'Log in'</t>
  </si>
  <si>
    <t>TC_LOGIN_017</t>
  </si>
  <si>
    <t>Username with special / Unicode characters</t>
  </si>
  <si>
    <t>User registered with name like 'tester_ñ@#1'</t>
  </si>
  <si>
    <t>'tester_ñ@#1' / valid password</t>
  </si>
  <si>
    <t>1. Open the login modal
2. Enter the special-character username and correct password
3. Click 'Log in'</t>
  </si>
  <si>
    <t>Login succeeds and the welcome text renders the name correctly</t>
  </si>
  <si>
    <t>TC_LOGIN_018</t>
  </si>
  <si>
    <t>SQL injection in credentials</t>
  </si>
  <si>
    <t>' OR '1'='1 (both fields)</t>
  </si>
  <si>
    <t>1. Open the login modal
2. Enter the payload in both fields
3. Click 'Log in'</t>
  </si>
  <si>
    <t>TC_LOGIN_019</t>
  </si>
  <si>
    <t>Script (XSS) payload in username</t>
  </si>
  <si>
    <t>&lt;img src=x onerror=...&gt;</t>
  </si>
  <si>
    <t>1. Open the login modal
2. Enter the payload as username and any password
3. Click 'Log in'</t>
  </si>
  <si>
    <t>TC_LOGIN_020</t>
  </si>
  <si>
    <t>Whitespace-only username and password</t>
  </si>
  <si>
    <t>'   ' / '   '</t>
  </si>
  <si>
    <t>1. Open the login modal
2. Enter only spaces in both fields
3. Click 'Log in'</t>
  </si>
  <si>
    <t>Treated as empty: 'Please fill out Username and Password.'</t>
  </si>
  <si>
    <t>TC_LOGIN_021</t>
  </si>
  <si>
    <t>Closing the modal cancels login</t>
  </si>
  <si>
    <t>1. Open the login modal
2. Enter valid credentials
3. Click 'Close' (or X)</t>
  </si>
  <si>
    <t>TC_LOGIN_022</t>
  </si>
  <si>
    <t>Field values after closing and reopening the modal</t>
  </si>
  <si>
    <t>Any text</t>
  </si>
  <si>
    <t>1. Open the login modal and type credentials
2. Close the modal
3. Reopen it</t>
  </si>
  <si>
    <t>TC_LOGIN_023</t>
  </si>
  <si>
    <t>Robustness</t>
  </si>
  <si>
    <t>Double-click on 'Log in'</t>
  </si>
  <si>
    <t>1. Open the login modal
2. Enter valid credentials
3. Double-click 'Log in'</t>
  </si>
  <si>
    <t>Single login, no duplicate alerts or errors</t>
  </si>
  <si>
    <t>TC_LOGIN_024</t>
  </si>
  <si>
    <t>Login API unavailable / network error</t>
  </si>
  <si>
    <t>Network offline or API returns 500 (devtools / route mock)</t>
  </si>
  <si>
    <t>1. Block api.demoblaze.com/login
2. Submit valid credentials</t>
  </si>
  <si>
    <t>Automation candidate via page.route()</t>
  </si>
  <si>
    <t>TC_LOGIN_025</t>
  </si>
  <si>
    <t>Logout in one tab is reflected in another tab</t>
  </si>
  <si>
    <t>1. Log in and open the site in two tabs
2. Log out in tab 1
3. Refresh tab 2</t>
  </si>
  <si>
    <t>Tab 2 shows the logged-out state</t>
  </si>
  <si>
    <t>TC_LOGIN_026</t>
  </si>
  <si>
    <t>Credentials transported securely</t>
  </si>
  <si>
    <t>1. Open DevTools › Network
2. Log in
3. Inspect the /login request</t>
  </si>
  <si>
    <t>TC_LOGIN_027</t>
  </si>
  <si>
    <t>Repeated failed login attempts</t>
  </si>
  <si>
    <t>Wrong password x 10</t>
  </si>
  <si>
    <t>1. Submit a wrong password 10 times in a row</t>
  </si>
  <si>
    <t>Account lockout, CAPTCHA or rate limiting is applied after N failures</t>
  </si>
  <si>
    <t>TC_LOGIN_028</t>
  </si>
  <si>
    <t>Browser Back after logout</t>
  </si>
  <si>
    <t>1. Log in
2. Navigate to Cart
3. Log out
4. Press browser Back</t>
  </si>
  <si>
    <t>Previous authenticated state is not restored</t>
  </si>
  <si>
    <t>TC_LOGIN_029</t>
  </si>
  <si>
    <t>Login works across browsers and mobile viewports</t>
  </si>
  <si>
    <t>1. Run TC_LOGIN_003 on Chrome, Firefox, Safari, Pixel 7 and iPhone 14 viewports</t>
  </si>
  <si>
    <t>TC_CART_001</t>
  </si>
  <si>
    <t>Add to cart</t>
  </si>
  <si>
    <t>Guest adds a product to the cart</t>
  </si>
  <si>
    <t>Samsung galaxy s6</t>
  </si>
  <si>
    <t>1. Open product 'Samsung galaxy s6'
2. Click 'Add to cart'
3. Accept the alert
4. Open Cart</t>
  </si>
  <si>
    <t>TC_CART_002</t>
  </si>
  <si>
    <t>Logged-in user adds a product from the home page</t>
  </si>
  <si>
    <t>Nokia lumia 1520</t>
  </si>
  <si>
    <t>1. Click the product on the home page
2. Click 'Add to cart'
3. Open Cart</t>
  </si>
  <si>
    <t>Product is listed in the cart</t>
  </si>
  <si>
    <t>TC_CART_003</t>
  </si>
  <si>
    <t>Cart view</t>
  </si>
  <si>
    <t>Cart row content matches the product page</t>
  </si>
  <si>
    <t>At least one product in the cart</t>
  </si>
  <si>
    <t>1. Note title and price on the product page
2. Add to cart
3. Open Cart</t>
  </si>
  <si>
    <t>Row shows picture, matching title, matching price (without $) and a 'Delete' link</t>
  </si>
  <si>
    <t>TC_CART_004</t>
  </si>
  <si>
    <t>Add several different products</t>
  </si>
  <si>
    <t>Samsung galaxy s6 + Sony vaio i5</t>
  </si>
  <si>
    <t>1. Add product A
2. Add product B
3. Open Cart</t>
  </si>
  <si>
    <t>TC_CART_005</t>
  </si>
  <si>
    <t>Add the same product twice</t>
  </si>
  <si>
    <t>Samsung galaxy s6 x 2</t>
  </si>
  <si>
    <t>1. Open a product
2. Click 'Add to cart' twice (accept both alerts)
3. Open Cart</t>
  </si>
  <si>
    <t>TC_CART_006</t>
  </si>
  <si>
    <t>Rapid repeated clicks on 'Add to cart'</t>
  </si>
  <si>
    <t>Click 5 times quickly</t>
  </si>
  <si>
    <t>1. Open a product
2. Click 'Add to cart' 5 times quickly
3. Open Cart</t>
  </si>
  <si>
    <t>TC_CART_007</t>
  </si>
  <si>
    <t>Add products from every category</t>
  </si>
  <si>
    <t>One Phone, one Laptop, one Monitor</t>
  </si>
  <si>
    <t>1. Filter by Phones and add one product
2. Repeat for Laptops and Monitors
3. Open Cart</t>
  </si>
  <si>
    <t>All three products listed with correct prices</t>
  </si>
  <si>
    <t>TC_CART_008</t>
  </si>
  <si>
    <t>Navigation</t>
  </si>
  <si>
    <t>Open the cart from the navigation bar</t>
  </si>
  <si>
    <t>1. Click 'Cart' in the navbar</t>
  </si>
  <si>
    <t>Cart page (cart.html) opens with Products table, Total and 'Place Order'</t>
  </si>
  <si>
    <t>TC_CART_009</t>
  </si>
  <si>
    <t>New user has an empty cart</t>
  </si>
  <si>
    <t>Freshly registered user is logged in</t>
  </si>
  <si>
    <t>1. Open Cart</t>
  </si>
  <si>
    <t>No product rows displayed</t>
  </si>
  <si>
    <t>TC_CART_010</t>
  </si>
  <si>
    <t>Delete</t>
  </si>
  <si>
    <t>Delete an item from the cart</t>
  </si>
  <si>
    <t>Cart contains 2 different products</t>
  </si>
  <si>
    <t>1. Open Cart
2. Click 'Delete' on one row</t>
  </si>
  <si>
    <t>TC_CART_011</t>
  </si>
  <si>
    <t>Delete one of two identical items</t>
  </si>
  <si>
    <t>Cart contains the same product twice</t>
  </si>
  <si>
    <t>1. Open Cart
2. Click 'Delete' on one of the duplicate rows</t>
  </si>
  <si>
    <t>Only one row is removed</t>
  </si>
  <si>
    <t>TC_CART_012</t>
  </si>
  <si>
    <t>Delete all items</t>
  </si>
  <si>
    <t>1. Open Cart
2. Delete every row</t>
  </si>
  <si>
    <t>Cart is empty and Total is cleared (not a stale value)</t>
  </si>
  <si>
    <t>TC_CART_013</t>
  </si>
  <si>
    <t>Persistence</t>
  </si>
  <si>
    <t>Cart survives a page reload</t>
  </si>
  <si>
    <t>1. Open Cart
2. Reload the page</t>
  </si>
  <si>
    <t>Same items still listed</t>
  </si>
  <si>
    <t>TC_CART_014</t>
  </si>
  <si>
    <t>Logged-in cart restored after logout and login</t>
  </si>
  <si>
    <t>1. Add a product
2. Log out
3. Log in again
4. Open Cart</t>
  </si>
  <si>
    <t>Previously added product is still in the cart</t>
  </si>
  <si>
    <t>TC_CART_015</t>
  </si>
  <si>
    <t>Guest cart vs. user cart after login</t>
  </si>
  <si>
    <t>1. As guest, add a product
2. Log in
3. Open Cart</t>
  </si>
  <si>
    <t>TC_CART_016</t>
  </si>
  <si>
    <t>A user cannot see another user's cart</t>
  </si>
  <si>
    <t>Two registered users A and B</t>
  </si>
  <si>
    <t>1. User A adds a product
2. Log in as user B
3. Open Cart</t>
  </si>
  <si>
    <t>User B's cart does not contain A's product</t>
  </si>
  <si>
    <t>TC_CART_017</t>
  </si>
  <si>
    <t>Add to cart while the API is unavailable</t>
  </si>
  <si>
    <t>Block api.demoblaze.com/addtocart</t>
  </si>
  <si>
    <t>1. Block the add-to-cart request
2. Click 'Add to cart'</t>
  </si>
  <si>
    <t>TC_CART_018</t>
  </si>
  <si>
    <t>Large number of items</t>
  </si>
  <si>
    <t>20 items</t>
  </si>
  <si>
    <t>1. Add 20 products
2. Open Cart</t>
  </si>
  <si>
    <t>TC_CART_019</t>
  </si>
  <si>
    <t>Place order</t>
  </si>
  <si>
    <t>Place Order modal content</t>
  </si>
  <si>
    <t>1. Open Cart
2. Click 'Place Order'</t>
  </si>
  <si>
    <t>TC_CART_020</t>
  </si>
  <si>
    <t>E2E: log in, add to cart and place an order</t>
  </si>
  <si>
    <t>1. Log in with valid credentials
2. Open 'Samsung galaxy s6' and add it to the cart
3. Open Cart and verify row + Total
4. Click 'Place Order' and fill every field
5. Click 'Purchase'
6. Click 'OK'</t>
  </si>
  <si>
    <t>TC_CART_021</t>
  </si>
  <si>
    <t>Order with only Name and Credit card</t>
  </si>
  <si>
    <t>Name + Card only</t>
  </si>
  <si>
    <t>1. Open Place Order
2. Fill Name and Credit card only
3. Click 'Purchase'</t>
  </si>
  <si>
    <t>Order succeeds (only Name and Card are mandatory)</t>
  </si>
  <si>
    <t>TC_CART_022</t>
  </si>
  <si>
    <t>Place order validation</t>
  </si>
  <si>
    <t>Name empty</t>
  </si>
  <si>
    <t>All fields except Name</t>
  </si>
  <si>
    <t>1. Open Place Order
2. Fill all fields except Name
3. Click 'Purchase'</t>
  </si>
  <si>
    <t>TC_CART_023</t>
  </si>
  <si>
    <t>Credit card empty</t>
  </si>
  <si>
    <t>All fields except Credit card</t>
  </si>
  <si>
    <t>1. Open Place Order
2. Fill all fields except Credit card
3. Click 'Purchase'</t>
  </si>
  <si>
    <t>TC_CART_024</t>
  </si>
  <si>
    <t>All fields empty</t>
  </si>
  <si>
    <t>1. Open Place Order
2. Click 'Purchase' without filling anything</t>
  </si>
  <si>
    <t>TC_CART_025</t>
  </si>
  <si>
    <t>Cart is emptied after purchase</t>
  </si>
  <si>
    <t>Order just placed</t>
  </si>
  <si>
    <t>1. Complete a purchase
2. Click 'OK'
3. Open Cart</t>
  </si>
  <si>
    <t>TC_CART_026</t>
  </si>
  <si>
    <t>Order with an empty cart</t>
  </si>
  <si>
    <t>Cart is empty</t>
  </si>
  <si>
    <t>Valid order details</t>
  </si>
  <si>
    <t>1. Open Cart (empty)
2. Click 'Place Order'
3. Fill valid details
4. Click 'Purchase'</t>
  </si>
  <si>
    <t>Purchase is blocked (button disabled or error shown)</t>
  </si>
  <si>
    <t>DEF-01</t>
  </si>
  <si>
    <t>TC_CART_027</t>
  </si>
  <si>
    <t>Invalid credit card format</t>
  </si>
  <si>
    <t>'abcd', '123', 25 digits</t>
  </si>
  <si>
    <t>1. Open Place Order
2. Enter Name and an invalid card value
3. Click 'Purchase'</t>
  </si>
  <si>
    <t>Card is rejected with a validation message</t>
  </si>
  <si>
    <t>DEF-02</t>
  </si>
  <si>
    <t>TC_CART_028</t>
  </si>
  <si>
    <t>Invalid month / year</t>
  </si>
  <si>
    <t>1. Open Place Order
2. Fill Name and Card
3. Enter an invalid Month/Year
4. Click 'Purchase'</t>
  </si>
  <si>
    <t>Invalid or expired date is rejected</t>
  </si>
  <si>
    <t>DEF-03</t>
  </si>
  <si>
    <t>TC_CART_029</t>
  </si>
  <si>
    <t>Name with special characters / very long name</t>
  </si>
  <si>
    <t>"O'Brien-Nguyễn", 255 chars</t>
  </si>
  <si>
    <t>1. Open Place Order
2. Enter the name and a valid card
3. Click 'Purchase'</t>
  </si>
  <si>
    <t>Order succeeds and the name is rendered correctly in the confirmation</t>
  </si>
  <si>
    <t>TC_CART_030</t>
  </si>
  <si>
    <t>Closing the order modal keeps the cart</t>
  </si>
  <si>
    <t>1. Open Place Order
2. Fill the form
3. Click 'Close'</t>
  </si>
  <si>
    <t>Modal closes, no order is placed, cart is unchanged</t>
  </si>
  <si>
    <t>TC_CART_031</t>
  </si>
  <si>
    <t>Confirmation shows today's date</t>
  </si>
  <si>
    <t>1. Complete a purchase
2. Read the Date line in the confirmation</t>
  </si>
  <si>
    <t>Date equals the current date (correct day and month)</t>
  </si>
  <si>
    <t>TC_CART_032</t>
  </si>
  <si>
    <t>Double-click 'Purchase'</t>
  </si>
  <si>
    <t>1. Open Place Order
2. Fill valid details
3. Double-click 'Purchase'</t>
  </si>
  <si>
    <t>Exactly one order is created</t>
  </si>
  <si>
    <t>TC_CART_033</t>
  </si>
  <si>
    <t>Guest can place an order</t>
  </si>
  <si>
    <t>1. As guest, add a product
2. Place an order with valid details</t>
  </si>
  <si>
    <t>TC_CART_034</t>
  </si>
  <si>
    <t>Whitespace-only Name and Credit card</t>
  </si>
  <si>
    <t>1. Open Place Order
2. Enter only spaces in Name and Credit card
3. Click 'Purchase'</t>
  </si>
  <si>
    <t>Treated as empty: 'Please fill out Name and Creditcard.'</t>
  </si>
  <si>
    <t>ID</t>
  </si>
  <si>
    <t>Severity</t>
  </si>
  <si>
    <t>Related TC</t>
  </si>
  <si>
    <t>Steps to Reproduce</t>
  </si>
  <si>
    <t>Expected</t>
  </si>
  <si>
    <t>Actual (observed)</t>
  </si>
  <si>
    <t>An order can be placed with an empty cart</t>
  </si>
  <si>
    <t>1. Open Cart with no items
2. Click Place Order
3. Fill Name and Card
4. Click Purchase</t>
  </si>
  <si>
    <t>Purchase is blocked</t>
  </si>
  <si>
    <t>Confirmation 'Thank you for your purchase!' is shown with Amount: 0 USD</t>
  </si>
  <si>
    <t>Credit card field has no format validation</t>
  </si>
  <si>
    <t>1. Add a product
2. Place Order with Name and Card = 'abcd'
3. Click Purchase</t>
  </si>
  <si>
    <t>Invalid card number is rejected</t>
  </si>
  <si>
    <t>Month / Year fields have no validation</t>
  </si>
  <si>
    <t>1. Add a product
2. Place Order with Month = 13 and Year = 1999</t>
  </si>
  <si>
    <t>Invalid / expired date is rejected</t>
  </si>
  <si>
    <t>Order is accepted</t>
  </si>
  <si>
    <t>Same product added twice creates duplicate rows (no quantity)</t>
  </si>
  <si>
    <t>1. Add the same product twice
2. Open Cart</t>
  </si>
  <si>
    <t>Single row with quantity 2 (typical e-commerce UX)</t>
  </si>
  <si>
    <t>Two separate rows</t>
  </si>
  <si>
    <t>Password is only base64-encoded on the client</t>
  </si>
  <si>
    <t>1. Inspect the /login request body in DevTools</t>
  </si>
  <si>
    <t>Password sent as base64 (trivially reversible)</t>
  </si>
  <si>
    <t>No visible lockout / rate limiting on failed logins</t>
  </si>
  <si>
    <t>1. Submit a wrong password repeatedly</t>
  </si>
  <si>
    <t>Lockout, CAPTCHA or throttling after N failures</t>
  </si>
  <si>
    <t>Enter does nothing</t>
  </si>
  <si>
    <t>Submit login with the Enter key does nothing</t>
  </si>
  <si>
    <t>Form is submitted and user is logged in</t>
  </si>
  <si>
    <t>Automation via page.route()</t>
  </si>
  <si>
    <t>DEF-04</t>
  </si>
  <si>
    <t>DEF-05</t>
  </si>
  <si>
    <t>DEF-06</t>
  </si>
  <si>
    <t>DEF-07</t>
  </si>
  <si>
    <t>See DEF-05</t>
  </si>
  <si>
    <t>See DEF-06</t>
  </si>
  <si>
    <t>See DEF-07</t>
  </si>
  <si>
    <t>See DEF-01</t>
  </si>
  <si>
    <t>See DEF-04</t>
  </si>
  <si>
    <t>Logged in user'cart does not contain guest's product</t>
  </si>
  <si>
    <t>See DEF-02</t>
  </si>
  <si>
    <t>See DEF-03</t>
  </si>
  <si>
    <t>DEF-08</t>
  </si>
  <si>
    <t>See DEF-08</t>
  </si>
  <si>
    <t>Login required</t>
  </si>
  <si>
    <t>DemoBlaze - Login &amp; Cart Test Case Suite</t>
  </si>
  <si>
    <t>Tri Nguyen - 12 Oct 2026</t>
  </si>
  <si>
    <t>Functional = expected business flow. Negative = invalid input / error path. Edge = boundaries, duplicates, timing, unusual input. UI = layout / fields. Security. Compatibility</t>
  </si>
  <si>
    <t>Critical = blocks core purchase flow. High = major function. Medium = important but has workaround. Low = cosmetic / rare</t>
  </si>
  <si>
    <t>Browser open on https://www.demoblaze.com. user not logged in</t>
  </si>
  <si>
    <t>Username and Password fields are editable. Password input is masked (type=password). buttons are enabled</t>
  </si>
  <si>
    <t>Modal closes. navbar shows 'Welcome &lt;username&gt;' and 'Log out'. 'Log in' and 'Sign up' are hidden</t>
  </si>
  <si>
    <t>User remains logged in. 'Welcome &lt;username&gt;' still shown</t>
  </si>
  <si>
    <t>User is logged out. 'Log in' and 'Sign up' visible. welcome text hidden</t>
  </si>
  <si>
    <t>Alert 'Wrong password.'. user stays logged out</t>
  </si>
  <si>
    <t>Alert 'User does not exist.'. user stays logged out</t>
  </si>
  <si>
    <t>Alert 'Please fill out Username and Password.'. no login</t>
  </si>
  <si>
    <t>Alert 'Wrong password.'. passwords are case-sensitive</t>
  </si>
  <si>
    <t>Request is handled gracefully ('User does not exist.'). no crash or hang</t>
  </si>
  <si>
    <t>Login is rejected with a normal error. no data leak or server error</t>
  </si>
  <si>
    <t>Payload is not executed. login is rejected</t>
  </si>
  <si>
    <t>Modal closes. user is NOT logged in</t>
  </si>
  <si>
    <t>Behaviour is consistent. password should not be retained in a shared-device scenario</t>
  </si>
  <si>
    <t>User gets a clear error and stays logged out. UI does not hang</t>
  </si>
  <si>
    <t>Request uses HTTPS POST. credentials not in URL or query string</t>
  </si>
  <si>
    <t>Same result on every browser/device. mobile menu exposes Log in / Log out</t>
  </si>
  <si>
    <t>Alert 'Product added'. cart shows 1 row with the same title and price. Total = price</t>
  </si>
  <si>
    <t>Both rows listed. Total = sum of the row prices</t>
  </si>
  <si>
    <t>Number of rows equals number of successful 'Product added' confirmations. no errors</t>
  </si>
  <si>
    <t>Row is removed. other row remains. Total recalculated</t>
  </si>
  <si>
    <t>No false 'Product added' confirmation. clear error shown</t>
  </si>
  <si>
    <t>All rows listed. Total correct. page remains usable</t>
  </si>
  <si>
    <t>Modal shows Total equal to cart total and fields Name, Country, City, Credit card, Month, Year. 'Purchase' and 'Close' buttons</t>
  </si>
  <si>
    <t>Name: Jane Tester. Country: Vietnam. City: Ho Chi Minh City. Card: 4111111111111111. Month: 12. Year: 2030</t>
  </si>
  <si>
    <t>Thank you for your purchase!' shows Id, Amount = cart Total, Card Number, Name and Date. after OK user is redirected home and the cart is empty</t>
  </si>
  <si>
    <t>Alert 'Please fill out Name and Creditcard.'. no order. cart unchanged</t>
  </si>
  <si>
    <t>Alert 'Please fill out Name and Creditcard.'. no order</t>
  </si>
  <si>
    <t>Redirected to home page. cart is empty</t>
  </si>
  <si>
    <t>Month: 13, 00, 'ab'. Year: 1999, 'xx'</t>
  </si>
  <si>
    <t>Not logged in. product in cart</t>
  </si>
  <si>
    <t>Password protected by HTTPS. no reversible encoding presented as security</t>
  </si>
  <si>
    <t>Automated = covered by the Playwright repo. Manual = executed manually</t>
  </si>
  <si>
    <t>Single row, quantity 2</t>
  </si>
  <si>
    <t>Input is trimmed and login succeeds, OR a clear error is shown - never a different account</t>
  </si>
  <si>
    <t>Status</t>
  </si>
  <si>
    <t>Yellow columns only: Status, Actual Result, Executed By / Date. Status uses a drop-down (Not Run, Pass, Fail, Blocked, Skipped).</t>
  </si>
  <si>
    <t>Status: Pass  | Actual Result: 'Welcome qa_user shown. Log out visible'  |  Executed By / Date: Tri Nguyen - 12 Oct 2026</t>
  </si>
  <si>
    <t>Guest order is accepted without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</si>
</sst>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scheme val="minor"/>
    </font>
    <font>
      <b/>
      <sz val="14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3" borderId="1" xfId="0" applyFont="1" applyFill="1" applyBorder="1"/>
    <xf numFmtId="0" fontId="5" fillId="0" borderId="0" xfId="0" applyFont="1"/>
    <xf numFmtId="164" fontId="5" fillId="0" borderId="1" xfId="0" applyNumberFormat="1" applyFont="1" applyBorder="1"/>
    <xf numFmtId="0" fontId="6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4" fontId="4" fillId="4" borderId="1" xfId="0" applyNumberFormat="1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4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2"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352424</xdr:colOff>
      <xdr:row>1</xdr:row>
      <xdr:rowOff>0</xdr:rowOff>
    </xdr:from>
    <xdr:to>
      <xdr:col>26</xdr:col>
      <xdr:colOff>154588</xdr:colOff>
      <xdr:row>28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8AB3B-3232-408B-BDD6-A361724CB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01799" y="247650"/>
          <a:ext cx="10774964" cy="5619750"/>
        </a:xfrm>
        <a:prstGeom prst="rect">
          <a:avLst/>
        </a:prstGeom>
      </xdr:spPr>
    </xdr:pic>
    <xdr:clientData/>
  </xdr:twoCellAnchor>
  <xdr:twoCellAnchor editAs="oneCell">
    <xdr:from>
      <xdr:col>8</xdr:col>
      <xdr:colOff>272824</xdr:colOff>
      <xdr:row>26</xdr:row>
      <xdr:rowOff>19050</xdr:rowOff>
    </xdr:from>
    <xdr:to>
      <xdr:col>25</xdr:col>
      <xdr:colOff>439658</xdr:colOff>
      <xdr:row>68</xdr:row>
      <xdr:rowOff>105933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4568A6-87ED-4C21-9980-E829849E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22199" y="6200775"/>
          <a:ext cx="10530034" cy="8087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435D-E36E-428B-BCDA-A3972C8DEC16}">
  <dimension ref="A1:D33"/>
  <sheetViews>
    <sheetView workbookViewId="0">
      <selection activeCell="J21" sqref="J21"/>
    </sheetView>
  </sheetViews>
  <sheetFormatPr defaultColWidth="8.7109375" defaultRowHeight="15" x14ac:dyDescent="0.25"/>
  <cols>
    <col min="1" max="1" width="26" customWidth="1"/>
    <col min="2" max="4" width="14" customWidth="1"/>
  </cols>
  <sheetData>
    <row r="1" spans="1:4" ht="18" x14ac:dyDescent="0.25">
      <c r="A1" s="1" t="s">
        <v>374</v>
      </c>
    </row>
    <row r="2" spans="1:4" x14ac:dyDescent="0.25">
      <c r="A2" s="2" t="s">
        <v>0</v>
      </c>
    </row>
    <row r="4" spans="1:4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x14ac:dyDescent="0.25">
      <c r="A5" s="4" t="s">
        <v>5</v>
      </c>
      <c r="B5" s="4">
        <f>COUNTIF(Login!$E$2:$E$30,"Functional")</f>
        <v>6</v>
      </c>
      <c r="C5" s="4">
        <f>COUNTIF(Cart!$E$2:$E$35,"Functional")</f>
        <v>14</v>
      </c>
      <c r="D5" s="4">
        <f t="shared" ref="D5:D10" si="0">B5+C5</f>
        <v>20</v>
      </c>
    </row>
    <row r="6" spans="1:4" x14ac:dyDescent="0.25">
      <c r="A6" s="4" t="s">
        <v>6</v>
      </c>
      <c r="B6" s="4">
        <f>COUNTIF(Login!$E$2:$E$30,"Negative")</f>
        <v>7</v>
      </c>
      <c r="C6" s="4">
        <f>COUNTIF(Cart!$E$2:$E$35,"Negative")</f>
        <v>7</v>
      </c>
      <c r="D6" s="4">
        <f t="shared" si="0"/>
        <v>14</v>
      </c>
    </row>
    <row r="7" spans="1:4" x14ac:dyDescent="0.25">
      <c r="A7" s="4" t="s">
        <v>7</v>
      </c>
      <c r="B7" s="4">
        <f>COUNTIF(Login!$E$2:$E$30,"Edge")</f>
        <v>10</v>
      </c>
      <c r="C7" s="4">
        <f>COUNTIF(Cart!$E$2:$E$35,"Edge")</f>
        <v>10</v>
      </c>
      <c r="D7" s="4">
        <f t="shared" si="0"/>
        <v>20</v>
      </c>
    </row>
    <row r="8" spans="1:4" x14ac:dyDescent="0.25">
      <c r="A8" s="4" t="s">
        <v>8</v>
      </c>
      <c r="B8" s="4">
        <f>COUNTIF(Login!$E$2:$E$30,"UI")</f>
        <v>1</v>
      </c>
      <c r="C8" s="4">
        <f>COUNTIF(Cart!$E$2:$E$35,"UI")</f>
        <v>2</v>
      </c>
      <c r="D8" s="4">
        <f t="shared" si="0"/>
        <v>3</v>
      </c>
    </row>
    <row r="9" spans="1:4" x14ac:dyDescent="0.25">
      <c r="A9" s="4" t="s">
        <v>9</v>
      </c>
      <c r="B9" s="4">
        <f>COUNTIF(Login!$E$2:$E$30,"Security")</f>
        <v>4</v>
      </c>
      <c r="C9" s="4">
        <f>COUNTIF(Cart!$E$2:$E$35,"Security")</f>
        <v>1</v>
      </c>
      <c r="D9" s="4">
        <f t="shared" si="0"/>
        <v>5</v>
      </c>
    </row>
    <row r="10" spans="1:4" x14ac:dyDescent="0.25">
      <c r="A10" s="4" t="s">
        <v>10</v>
      </c>
      <c r="B10" s="4">
        <f>COUNTIF(Login!$E$2:$E$30,"Compatibility")</f>
        <v>1</v>
      </c>
      <c r="C10" s="4">
        <f>COUNTIF(Cart!$E$2:$E$35,"Compatibility")</f>
        <v>0</v>
      </c>
      <c r="D10" s="4">
        <f t="shared" si="0"/>
        <v>1</v>
      </c>
    </row>
    <row r="11" spans="1:4" x14ac:dyDescent="0.25">
      <c r="A11" s="5" t="s">
        <v>4</v>
      </c>
      <c r="B11" s="5">
        <f>SUM(B5:B10)</f>
        <v>29</v>
      </c>
      <c r="C11" s="5">
        <f>SUM(C5:C10)</f>
        <v>34</v>
      </c>
      <c r="D11" s="5">
        <f>SUM(D5:D10)</f>
        <v>63</v>
      </c>
    </row>
    <row r="13" spans="1:4" x14ac:dyDescent="0.25">
      <c r="A13" s="3" t="s">
        <v>11</v>
      </c>
      <c r="B13" s="3" t="s">
        <v>2</v>
      </c>
      <c r="C13" s="3" t="s">
        <v>3</v>
      </c>
      <c r="D13" s="3" t="s">
        <v>4</v>
      </c>
    </row>
    <row r="14" spans="1:4" x14ac:dyDescent="0.25">
      <c r="A14" s="4" t="s">
        <v>12</v>
      </c>
      <c r="B14" s="4">
        <f>COUNTIF(Login!$F$2:$F$30,"Critical")</f>
        <v>1</v>
      </c>
      <c r="C14" s="4">
        <f>COUNTIF(Cart!$F$2:$F$35,"Critical")</f>
        <v>3</v>
      </c>
      <c r="D14" s="4">
        <f>B14+C14</f>
        <v>4</v>
      </c>
    </row>
    <row r="15" spans="1:4" x14ac:dyDescent="0.25">
      <c r="A15" s="4" t="s">
        <v>13</v>
      </c>
      <c r="B15" s="4">
        <f>COUNTIF(Login!$F$2:$F$30,"High")</f>
        <v>12</v>
      </c>
      <c r="C15" s="4">
        <f>COUNTIF(Cart!$F$2:$F$35,"High")</f>
        <v>14</v>
      </c>
      <c r="D15" s="4">
        <f>B15+C15</f>
        <v>26</v>
      </c>
    </row>
    <row r="16" spans="1:4" x14ac:dyDescent="0.25">
      <c r="A16" s="4" t="s">
        <v>14</v>
      </c>
      <c r="B16" s="4">
        <f>COUNTIF(Login!$F$2:$F$30,"Medium")</f>
        <v>11</v>
      </c>
      <c r="C16" s="4">
        <f>COUNTIF(Cart!$F$2:$F$35,"Medium")</f>
        <v>15</v>
      </c>
      <c r="D16" s="4">
        <f>B16+C16</f>
        <v>26</v>
      </c>
    </row>
    <row r="17" spans="1:4" x14ac:dyDescent="0.25">
      <c r="A17" s="4" t="s">
        <v>15</v>
      </c>
      <c r="B17" s="4">
        <f>COUNTIF(Login!$F$2:$F$30,"Low")</f>
        <v>5</v>
      </c>
      <c r="C17" s="4">
        <f>COUNTIF(Cart!$F$2:$F$35,"Low")</f>
        <v>2</v>
      </c>
      <c r="D17" s="4">
        <f>B17+C17</f>
        <v>7</v>
      </c>
    </row>
    <row r="18" spans="1:4" x14ac:dyDescent="0.25">
      <c r="A18" s="5" t="s">
        <v>4</v>
      </c>
      <c r="B18" s="5">
        <f>SUM(B14:B17)</f>
        <v>29</v>
      </c>
      <c r="C18" s="5">
        <f>SUM(C14:C17)</f>
        <v>34</v>
      </c>
      <c r="D18" s="5">
        <f>SUM(D14:D17)</f>
        <v>63</v>
      </c>
    </row>
    <row r="20" spans="1:4" x14ac:dyDescent="0.25">
      <c r="A20" s="3" t="s">
        <v>16</v>
      </c>
      <c r="B20" s="3" t="s">
        <v>2</v>
      </c>
      <c r="C20" s="3" t="s">
        <v>3</v>
      </c>
      <c r="D20" s="3" t="s">
        <v>4</v>
      </c>
    </row>
    <row r="21" spans="1:4" x14ac:dyDescent="0.25">
      <c r="A21" s="4" t="s">
        <v>17</v>
      </c>
      <c r="B21" s="4">
        <f>COUNTIF(Login!$K$2:$K$30,"Automated")</f>
        <v>15</v>
      </c>
      <c r="C21" s="4">
        <f>COUNTIF(Cart!$K$2:$K$35,"Automated")</f>
        <v>20</v>
      </c>
      <c r="D21" s="4">
        <f>B21+C21</f>
        <v>35</v>
      </c>
    </row>
    <row r="22" spans="1:4" x14ac:dyDescent="0.25">
      <c r="A22" s="4" t="s">
        <v>18</v>
      </c>
      <c r="B22" s="4">
        <f>COUNTIF(Login!$K$2:$K$30,"Manual")</f>
        <v>14</v>
      </c>
      <c r="C22" s="4">
        <f>COUNTIF(Cart!$K$2:$K$35,"Manual")</f>
        <v>14</v>
      </c>
      <c r="D22" s="4">
        <f>B22+C22</f>
        <v>28</v>
      </c>
    </row>
    <row r="23" spans="1:4" x14ac:dyDescent="0.25">
      <c r="A23" s="5" t="s">
        <v>4</v>
      </c>
      <c r="B23" s="5">
        <f>SUM(B21:B22)</f>
        <v>29</v>
      </c>
      <c r="C23" s="5">
        <f>SUM(C21:C22)</f>
        <v>34</v>
      </c>
      <c r="D23" s="5">
        <f>SUM(D21:D22)</f>
        <v>63</v>
      </c>
    </row>
    <row r="25" spans="1:4" x14ac:dyDescent="0.25">
      <c r="A25" s="3" t="s">
        <v>19</v>
      </c>
      <c r="B25" s="3" t="s">
        <v>2</v>
      </c>
      <c r="C25" s="3" t="s">
        <v>3</v>
      </c>
      <c r="D25" s="3" t="s">
        <v>4</v>
      </c>
    </row>
    <row r="26" spans="1:4" x14ac:dyDescent="0.25">
      <c r="A26" s="4" t="s">
        <v>20</v>
      </c>
      <c r="B26" s="4">
        <f>COUNTIF(Login!$L$2:$L$30,"Not Run")</f>
        <v>0</v>
      </c>
      <c r="C26" s="4">
        <f>COUNTIF(Cart!$L$2:$L$35,"Not Run")</f>
        <v>0</v>
      </c>
      <c r="D26" s="4">
        <f>B26+C26</f>
        <v>0</v>
      </c>
    </row>
    <row r="27" spans="1:4" x14ac:dyDescent="0.25">
      <c r="A27" s="4" t="s">
        <v>21</v>
      </c>
      <c r="B27" s="4">
        <f>COUNTIF(Login!$L$2:$L$30,"Pass")</f>
        <v>26</v>
      </c>
      <c r="C27" s="4">
        <f>COUNTIF(Cart!$L$2:$L$35,"Pass")</f>
        <v>29</v>
      </c>
      <c r="D27" s="4">
        <f>B27+C27</f>
        <v>55</v>
      </c>
    </row>
    <row r="28" spans="1:4" x14ac:dyDescent="0.25">
      <c r="A28" s="4" t="s">
        <v>22</v>
      </c>
      <c r="B28" s="4">
        <f>COUNTIF(Login!$L$2:$L$30,"Fail")</f>
        <v>3</v>
      </c>
      <c r="C28" s="4">
        <f>COUNTIF(Cart!$L$2:$L$35,"Fail")</f>
        <v>5</v>
      </c>
      <c r="D28" s="4">
        <f>B28+C28</f>
        <v>8</v>
      </c>
    </row>
    <row r="29" spans="1:4" x14ac:dyDescent="0.25">
      <c r="A29" s="4" t="s">
        <v>23</v>
      </c>
      <c r="B29" s="4">
        <f>COUNTIF(Login!$L$2:$L$30,"Blocked")</f>
        <v>0</v>
      </c>
      <c r="C29" s="4">
        <f>COUNTIF(Cart!$L$2:$L$35,"Blocked")</f>
        <v>0</v>
      </c>
      <c r="D29" s="4">
        <f>B29+C29</f>
        <v>0</v>
      </c>
    </row>
    <row r="30" spans="1:4" x14ac:dyDescent="0.25">
      <c r="A30" s="4" t="s">
        <v>24</v>
      </c>
      <c r="B30" s="4">
        <f>COUNTIF(Login!$L$2:$L$30,"Skipped")</f>
        <v>0</v>
      </c>
      <c r="C30" s="4">
        <f>COUNTIF(Cart!$L$2:$L$35,"Skipped")</f>
        <v>0</v>
      </c>
      <c r="D30" s="4">
        <f>B30+C30</f>
        <v>0</v>
      </c>
    </row>
    <row r="31" spans="1:4" x14ac:dyDescent="0.25">
      <c r="A31" s="5" t="s">
        <v>4</v>
      </c>
      <c r="B31" s="5">
        <f>SUM(B26:B30)</f>
        <v>29</v>
      </c>
      <c r="C31" s="5">
        <f>SUM(C26:C30)</f>
        <v>34</v>
      </c>
      <c r="D31" s="5">
        <f>SUM(D26:D30)</f>
        <v>63</v>
      </c>
    </row>
    <row r="33" spans="1:4" x14ac:dyDescent="0.25">
      <c r="A33" s="6" t="s">
        <v>25</v>
      </c>
      <c r="B33" s="7">
        <f>IFERROR(B27/(B27+B28+B29),0)</f>
        <v>0.89655172413793105</v>
      </c>
      <c r="C33" s="7">
        <f>IFERROR(C27/(C27+C28+C29),0)</f>
        <v>0.8529411764705882</v>
      </c>
      <c r="D33" s="7">
        <f>IFERROR(D27/(D27+D28+D29),0)</f>
        <v>0.87301587301587302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1AD1-D09D-4D61-B07D-48D00D5D3A3E}">
  <dimension ref="A1:B9"/>
  <sheetViews>
    <sheetView workbookViewId="0">
      <selection activeCell="H22" sqref="H22"/>
    </sheetView>
  </sheetViews>
  <sheetFormatPr defaultColWidth="8.7109375" defaultRowHeight="15" x14ac:dyDescent="0.25"/>
  <cols>
    <col min="1" max="1" width="24" customWidth="1"/>
    <col min="2" max="2" width="95" customWidth="1"/>
  </cols>
  <sheetData>
    <row r="1" spans="1:2" ht="16.5" x14ac:dyDescent="0.25">
      <c r="A1" s="8" t="s">
        <v>26</v>
      </c>
    </row>
    <row r="3" spans="1:2" x14ac:dyDescent="0.25">
      <c r="A3" s="9" t="s">
        <v>27</v>
      </c>
      <c r="B3" s="10" t="s">
        <v>28</v>
      </c>
    </row>
    <row r="4" spans="1:2" x14ac:dyDescent="0.25">
      <c r="A4" s="9" t="s">
        <v>29</v>
      </c>
      <c r="B4" s="10" t="s">
        <v>30</v>
      </c>
    </row>
    <row r="5" spans="1:2" ht="25.5" x14ac:dyDescent="0.25">
      <c r="A5" s="9" t="s">
        <v>31</v>
      </c>
      <c r="B5" s="10" t="s">
        <v>414</v>
      </c>
    </row>
    <row r="6" spans="1:2" ht="25.5" x14ac:dyDescent="0.25">
      <c r="A6" s="11" t="s">
        <v>32</v>
      </c>
      <c r="B6" s="10" t="s">
        <v>376</v>
      </c>
    </row>
    <row r="7" spans="1:2" ht="25.5" x14ac:dyDescent="0.25">
      <c r="A7" s="9" t="s">
        <v>33</v>
      </c>
      <c r="B7" s="10" t="s">
        <v>377</v>
      </c>
    </row>
    <row r="8" spans="1:2" x14ac:dyDescent="0.25">
      <c r="A8" s="9" t="s">
        <v>34</v>
      </c>
      <c r="B8" s="10" t="s">
        <v>410</v>
      </c>
    </row>
    <row r="9" spans="1:2" ht="25.5" x14ac:dyDescent="0.25">
      <c r="A9" s="9" t="s">
        <v>35</v>
      </c>
      <c r="B9" s="10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09C8-66A4-440C-8C20-FA4D424127B7}">
  <dimension ref="A1:O30"/>
  <sheetViews>
    <sheetView topLeftCell="C1" workbookViewId="0">
      <selection activeCell="M25" sqref="M25"/>
    </sheetView>
  </sheetViews>
  <sheetFormatPr defaultRowHeight="15" x14ac:dyDescent="0.25"/>
  <cols>
    <col min="1" max="1" width="9" bestFit="1" customWidth="1"/>
    <col min="2" max="2" width="7.7109375" bestFit="1" customWidth="1"/>
    <col min="4" max="4" width="30.5703125" customWidth="1"/>
    <col min="5" max="5" width="11" customWidth="1"/>
    <col min="6" max="6" width="7.5703125" bestFit="1" customWidth="1"/>
    <col min="7" max="7" width="31.140625" customWidth="1"/>
    <col min="8" max="8" width="24.140625" customWidth="1"/>
    <col min="9" max="10" width="34.5703125" customWidth="1"/>
    <col min="11" max="11" width="11.7109375" customWidth="1"/>
    <col min="12" max="12" width="12.7109375" customWidth="1"/>
    <col min="13" max="13" width="18.28515625" bestFit="1" customWidth="1"/>
    <col min="14" max="14" width="24.28515625" customWidth="1"/>
    <col min="15" max="15" width="20.85546875" customWidth="1"/>
  </cols>
  <sheetData>
    <row r="1" spans="1:15" ht="25.5" x14ac:dyDescent="0.25">
      <c r="A1" s="12" t="s">
        <v>36</v>
      </c>
      <c r="B1" s="12" t="s">
        <v>37</v>
      </c>
      <c r="C1" s="12" t="s">
        <v>38</v>
      </c>
      <c r="D1" s="12" t="s">
        <v>39</v>
      </c>
      <c r="E1" s="12" t="s">
        <v>32</v>
      </c>
      <c r="F1" s="12" t="s">
        <v>33</v>
      </c>
      <c r="G1" s="12" t="s">
        <v>40</v>
      </c>
      <c r="H1" s="12" t="s">
        <v>41</v>
      </c>
      <c r="I1" s="12" t="s">
        <v>42</v>
      </c>
      <c r="J1" s="12" t="s">
        <v>43</v>
      </c>
      <c r="K1" s="12" t="s">
        <v>34</v>
      </c>
      <c r="L1" s="12" t="s">
        <v>413</v>
      </c>
      <c r="M1" s="12" t="s">
        <v>44</v>
      </c>
      <c r="N1" s="12" t="s">
        <v>45</v>
      </c>
      <c r="O1" s="12" t="s">
        <v>46</v>
      </c>
    </row>
    <row r="2" spans="1:15" ht="38.25" x14ac:dyDescent="0.25">
      <c r="A2" s="13" t="s">
        <v>47</v>
      </c>
      <c r="B2" s="14" t="s">
        <v>2</v>
      </c>
      <c r="C2" s="14" t="s">
        <v>48</v>
      </c>
      <c r="D2" s="14" t="s">
        <v>49</v>
      </c>
      <c r="E2" s="14" t="s">
        <v>5</v>
      </c>
      <c r="F2" s="14" t="s">
        <v>13</v>
      </c>
      <c r="G2" s="14" t="s">
        <v>378</v>
      </c>
      <c r="H2" s="14" t="s">
        <v>50</v>
      </c>
      <c r="I2" s="14" t="s">
        <v>51</v>
      </c>
      <c r="J2" s="14" t="s">
        <v>52</v>
      </c>
      <c r="K2" s="14" t="s">
        <v>18</v>
      </c>
      <c r="L2" s="15" t="s">
        <v>21</v>
      </c>
      <c r="M2" s="15"/>
      <c r="N2" s="16" t="s">
        <v>375</v>
      </c>
      <c r="O2" s="14"/>
    </row>
    <row r="3" spans="1:15" ht="38.25" x14ac:dyDescent="0.25">
      <c r="A3" s="13" t="s">
        <v>53</v>
      </c>
      <c r="B3" s="14" t="s">
        <v>2</v>
      </c>
      <c r="C3" s="14" t="s">
        <v>48</v>
      </c>
      <c r="D3" s="14" t="s">
        <v>54</v>
      </c>
      <c r="E3" s="14" t="s">
        <v>8</v>
      </c>
      <c r="F3" s="14" t="s">
        <v>14</v>
      </c>
      <c r="G3" s="14" t="s">
        <v>378</v>
      </c>
      <c r="H3" s="14" t="s">
        <v>55</v>
      </c>
      <c r="I3" s="14" t="s">
        <v>56</v>
      </c>
      <c r="J3" s="14" t="s">
        <v>379</v>
      </c>
      <c r="K3" s="14" t="s">
        <v>17</v>
      </c>
      <c r="L3" s="15" t="s">
        <v>21</v>
      </c>
      <c r="M3" s="15"/>
      <c r="N3" s="16" t="s">
        <v>375</v>
      </c>
      <c r="O3" s="14"/>
    </row>
    <row r="4" spans="1:15" ht="51" x14ac:dyDescent="0.25">
      <c r="A4" s="13" t="s">
        <v>57</v>
      </c>
      <c r="B4" s="14" t="s">
        <v>2</v>
      </c>
      <c r="C4" s="14" t="s">
        <v>58</v>
      </c>
      <c r="D4" s="14" t="s">
        <v>59</v>
      </c>
      <c r="E4" s="14" t="s">
        <v>5</v>
      </c>
      <c r="F4" s="14" t="s">
        <v>12</v>
      </c>
      <c r="G4" s="14" t="s">
        <v>60</v>
      </c>
      <c r="H4" s="14" t="s">
        <v>61</v>
      </c>
      <c r="I4" s="14" t="s">
        <v>62</v>
      </c>
      <c r="J4" s="14" t="s">
        <v>380</v>
      </c>
      <c r="K4" s="14" t="s">
        <v>17</v>
      </c>
      <c r="L4" s="15" t="s">
        <v>21</v>
      </c>
      <c r="M4" s="15"/>
      <c r="N4" s="16" t="s">
        <v>375</v>
      </c>
      <c r="O4" s="14" t="s">
        <v>63</v>
      </c>
    </row>
    <row r="5" spans="1:15" ht="25.5" x14ac:dyDescent="0.25">
      <c r="A5" s="13" t="s">
        <v>64</v>
      </c>
      <c r="B5" s="14" t="s">
        <v>2</v>
      </c>
      <c r="C5" s="14" t="s">
        <v>65</v>
      </c>
      <c r="D5" s="14" t="s">
        <v>66</v>
      </c>
      <c r="E5" s="14" t="s">
        <v>5</v>
      </c>
      <c r="F5" s="14" t="s">
        <v>13</v>
      </c>
      <c r="G5" s="14" t="s">
        <v>67</v>
      </c>
      <c r="H5" s="14" t="s">
        <v>50</v>
      </c>
      <c r="I5" s="14" t="s">
        <v>68</v>
      </c>
      <c r="J5" s="14" t="s">
        <v>381</v>
      </c>
      <c r="K5" s="14" t="s">
        <v>17</v>
      </c>
      <c r="L5" s="15" t="s">
        <v>21</v>
      </c>
      <c r="M5" s="15"/>
      <c r="N5" s="16" t="s">
        <v>375</v>
      </c>
      <c r="O5" s="14"/>
    </row>
    <row r="6" spans="1:15" ht="51" x14ac:dyDescent="0.25">
      <c r="A6" s="13" t="s">
        <v>69</v>
      </c>
      <c r="B6" s="14" t="s">
        <v>2</v>
      </c>
      <c r="C6" s="14" t="s">
        <v>65</v>
      </c>
      <c r="D6" s="14" t="s">
        <v>70</v>
      </c>
      <c r="E6" s="14" t="s">
        <v>5</v>
      </c>
      <c r="F6" s="14" t="s">
        <v>14</v>
      </c>
      <c r="G6" s="14" t="s">
        <v>67</v>
      </c>
      <c r="H6" s="14" t="s">
        <v>50</v>
      </c>
      <c r="I6" s="14" t="s">
        <v>71</v>
      </c>
      <c r="J6" s="14" t="s">
        <v>72</v>
      </c>
      <c r="K6" s="14" t="s">
        <v>18</v>
      </c>
      <c r="L6" s="15" t="s">
        <v>21</v>
      </c>
      <c r="M6" s="15"/>
      <c r="N6" s="16" t="s">
        <v>375</v>
      </c>
      <c r="O6" s="14"/>
    </row>
    <row r="7" spans="1:15" ht="25.5" x14ac:dyDescent="0.25">
      <c r="A7" s="13" t="s">
        <v>73</v>
      </c>
      <c r="B7" s="14" t="s">
        <v>2</v>
      </c>
      <c r="C7" s="14" t="s">
        <v>74</v>
      </c>
      <c r="D7" s="14" t="s">
        <v>75</v>
      </c>
      <c r="E7" s="14" t="s">
        <v>5</v>
      </c>
      <c r="F7" s="14" t="s">
        <v>13</v>
      </c>
      <c r="G7" s="14" t="s">
        <v>67</v>
      </c>
      <c r="H7" s="14" t="s">
        <v>50</v>
      </c>
      <c r="I7" s="14" t="s">
        <v>76</v>
      </c>
      <c r="J7" s="14" t="s">
        <v>382</v>
      </c>
      <c r="K7" s="14" t="s">
        <v>17</v>
      </c>
      <c r="L7" s="15" t="s">
        <v>21</v>
      </c>
      <c r="M7" s="15"/>
      <c r="N7" s="16" t="s">
        <v>375</v>
      </c>
      <c r="O7" s="14"/>
    </row>
    <row r="8" spans="1:15" ht="38.25" x14ac:dyDescent="0.25">
      <c r="A8" s="13" t="s">
        <v>77</v>
      </c>
      <c r="B8" s="14" t="s">
        <v>2</v>
      </c>
      <c r="C8" s="14" t="s">
        <v>78</v>
      </c>
      <c r="D8" s="14" t="s">
        <v>79</v>
      </c>
      <c r="E8" s="14" t="s">
        <v>7</v>
      </c>
      <c r="F8" s="14" t="s">
        <v>15</v>
      </c>
      <c r="G8" s="14" t="s">
        <v>60</v>
      </c>
      <c r="H8" s="14" t="s">
        <v>61</v>
      </c>
      <c r="I8" s="14" t="s">
        <v>80</v>
      </c>
      <c r="J8" s="14" t="s">
        <v>357</v>
      </c>
      <c r="K8" s="14" t="s">
        <v>18</v>
      </c>
      <c r="L8" s="19" t="s">
        <v>22</v>
      </c>
      <c r="M8" s="19" t="s">
        <v>355</v>
      </c>
      <c r="N8" s="16" t="s">
        <v>375</v>
      </c>
      <c r="O8" s="17" t="s">
        <v>364</v>
      </c>
    </row>
    <row r="9" spans="1:15" ht="51" x14ac:dyDescent="0.25">
      <c r="A9" s="13" t="s">
        <v>81</v>
      </c>
      <c r="B9" s="14" t="s">
        <v>2</v>
      </c>
      <c r="C9" s="14" t="s">
        <v>82</v>
      </c>
      <c r="D9" s="14" t="s">
        <v>83</v>
      </c>
      <c r="E9" s="14" t="s">
        <v>6</v>
      </c>
      <c r="F9" s="14" t="s">
        <v>13</v>
      </c>
      <c r="G9" s="14" t="s">
        <v>60</v>
      </c>
      <c r="H9" s="14" t="s">
        <v>84</v>
      </c>
      <c r="I9" s="14" t="s">
        <v>85</v>
      </c>
      <c r="J9" s="14" t="s">
        <v>383</v>
      </c>
      <c r="K9" s="14" t="s">
        <v>17</v>
      </c>
      <c r="L9" s="15" t="s">
        <v>21</v>
      </c>
      <c r="M9" s="15"/>
      <c r="N9" s="16" t="s">
        <v>375</v>
      </c>
      <c r="O9" s="14"/>
    </row>
    <row r="10" spans="1:15" ht="51" x14ac:dyDescent="0.25">
      <c r="A10" s="13" t="s">
        <v>86</v>
      </c>
      <c r="B10" s="14" t="s">
        <v>2</v>
      </c>
      <c r="C10" s="14" t="s">
        <v>82</v>
      </c>
      <c r="D10" s="14" t="s">
        <v>87</v>
      </c>
      <c r="E10" s="14" t="s">
        <v>6</v>
      </c>
      <c r="F10" s="14" t="s">
        <v>13</v>
      </c>
      <c r="G10" s="14" t="s">
        <v>378</v>
      </c>
      <c r="H10" s="14" t="s">
        <v>88</v>
      </c>
      <c r="I10" s="14" t="s">
        <v>89</v>
      </c>
      <c r="J10" s="14" t="s">
        <v>384</v>
      </c>
      <c r="K10" s="14" t="s">
        <v>17</v>
      </c>
      <c r="L10" s="15" t="s">
        <v>21</v>
      </c>
      <c r="M10" s="15"/>
      <c r="N10" s="16" t="s">
        <v>375</v>
      </c>
      <c r="O10" s="14"/>
    </row>
    <row r="11" spans="1:15" ht="38.25" x14ac:dyDescent="0.25">
      <c r="A11" s="13" t="s">
        <v>90</v>
      </c>
      <c r="B11" s="14" t="s">
        <v>2</v>
      </c>
      <c r="C11" s="14" t="s">
        <v>91</v>
      </c>
      <c r="D11" s="14" t="s">
        <v>92</v>
      </c>
      <c r="E11" s="14" t="s">
        <v>6</v>
      </c>
      <c r="F11" s="14" t="s">
        <v>13</v>
      </c>
      <c r="G11" s="14" t="s">
        <v>378</v>
      </c>
      <c r="H11" s="14" t="s">
        <v>93</v>
      </c>
      <c r="I11" s="14" t="s">
        <v>94</v>
      </c>
      <c r="J11" s="14" t="s">
        <v>385</v>
      </c>
      <c r="K11" s="14" t="s">
        <v>17</v>
      </c>
      <c r="L11" s="15" t="s">
        <v>21</v>
      </c>
      <c r="M11" s="15"/>
      <c r="N11" s="16" t="s">
        <v>375</v>
      </c>
      <c r="O11" s="14"/>
    </row>
    <row r="12" spans="1:15" ht="38.25" x14ac:dyDescent="0.25">
      <c r="A12" s="13" t="s">
        <v>95</v>
      </c>
      <c r="B12" s="14" t="s">
        <v>2</v>
      </c>
      <c r="C12" s="14" t="s">
        <v>91</v>
      </c>
      <c r="D12" s="14" t="s">
        <v>96</v>
      </c>
      <c r="E12" s="14" t="s">
        <v>6</v>
      </c>
      <c r="F12" s="14" t="s">
        <v>13</v>
      </c>
      <c r="G12" s="14" t="s">
        <v>60</v>
      </c>
      <c r="H12" s="14" t="s">
        <v>97</v>
      </c>
      <c r="I12" s="14" t="s">
        <v>98</v>
      </c>
      <c r="J12" s="14" t="s">
        <v>385</v>
      </c>
      <c r="K12" s="14" t="s">
        <v>17</v>
      </c>
      <c r="L12" s="15" t="s">
        <v>21</v>
      </c>
      <c r="M12" s="15"/>
      <c r="N12" s="16" t="s">
        <v>375</v>
      </c>
      <c r="O12" s="14"/>
    </row>
    <row r="13" spans="1:15" ht="38.25" x14ac:dyDescent="0.25">
      <c r="A13" s="13" t="s">
        <v>99</v>
      </c>
      <c r="B13" s="14" t="s">
        <v>2</v>
      </c>
      <c r="C13" s="14" t="s">
        <v>91</v>
      </c>
      <c r="D13" s="14" t="s">
        <v>100</v>
      </c>
      <c r="E13" s="14" t="s">
        <v>6</v>
      </c>
      <c r="F13" s="14" t="s">
        <v>13</v>
      </c>
      <c r="G13" s="14" t="s">
        <v>60</v>
      </c>
      <c r="H13" s="14" t="s">
        <v>101</v>
      </c>
      <c r="I13" s="14" t="s">
        <v>102</v>
      </c>
      <c r="J13" s="14" t="s">
        <v>385</v>
      </c>
      <c r="K13" s="14" t="s">
        <v>17</v>
      </c>
      <c r="L13" s="15" t="s">
        <v>21</v>
      </c>
      <c r="M13" s="15"/>
      <c r="N13" s="16" t="s">
        <v>375</v>
      </c>
      <c r="O13" s="14"/>
    </row>
    <row r="14" spans="1:15" ht="51" x14ac:dyDescent="0.25">
      <c r="A14" s="13" t="s">
        <v>103</v>
      </c>
      <c r="B14" s="14" t="s">
        <v>2</v>
      </c>
      <c r="C14" s="14" t="s">
        <v>82</v>
      </c>
      <c r="D14" s="14" t="s">
        <v>104</v>
      </c>
      <c r="E14" s="14" t="s">
        <v>7</v>
      </c>
      <c r="F14" s="14" t="s">
        <v>14</v>
      </c>
      <c r="G14" s="14" t="s">
        <v>60</v>
      </c>
      <c r="H14" s="14" t="s">
        <v>105</v>
      </c>
      <c r="I14" s="14" t="s">
        <v>106</v>
      </c>
      <c r="J14" s="14" t="s">
        <v>107</v>
      </c>
      <c r="K14" s="14" t="s">
        <v>18</v>
      </c>
      <c r="L14" s="15" t="s">
        <v>21</v>
      </c>
      <c r="M14" s="15"/>
      <c r="N14" s="16" t="s">
        <v>375</v>
      </c>
      <c r="O14" s="14"/>
    </row>
    <row r="15" spans="1:15" ht="51" x14ac:dyDescent="0.25">
      <c r="A15" s="13" t="s">
        <v>108</v>
      </c>
      <c r="B15" s="14" t="s">
        <v>2</v>
      </c>
      <c r="C15" s="14" t="s">
        <v>82</v>
      </c>
      <c r="D15" s="14" t="s">
        <v>109</v>
      </c>
      <c r="E15" s="14" t="s">
        <v>7</v>
      </c>
      <c r="F15" s="14" t="s">
        <v>14</v>
      </c>
      <c r="G15" s="14" t="s">
        <v>60</v>
      </c>
      <c r="H15" s="14" t="s">
        <v>110</v>
      </c>
      <c r="I15" s="14" t="s">
        <v>111</v>
      </c>
      <c r="J15" s="14" t="s">
        <v>412</v>
      </c>
      <c r="K15" s="14" t="s">
        <v>18</v>
      </c>
      <c r="L15" s="15" t="s">
        <v>21</v>
      </c>
      <c r="M15" s="15"/>
      <c r="N15" s="16" t="s">
        <v>375</v>
      </c>
      <c r="O15" s="14"/>
    </row>
    <row r="16" spans="1:15" ht="51" x14ac:dyDescent="0.25">
      <c r="A16" s="13" t="s">
        <v>112</v>
      </c>
      <c r="B16" s="14" t="s">
        <v>2</v>
      </c>
      <c r="C16" s="14" t="s">
        <v>82</v>
      </c>
      <c r="D16" s="14" t="s">
        <v>113</v>
      </c>
      <c r="E16" s="14" t="s">
        <v>6</v>
      </c>
      <c r="F16" s="14" t="s">
        <v>13</v>
      </c>
      <c r="G16" s="14" t="s">
        <v>60</v>
      </c>
      <c r="H16" s="14" t="s">
        <v>114</v>
      </c>
      <c r="I16" s="14" t="s">
        <v>115</v>
      </c>
      <c r="J16" s="14" t="s">
        <v>386</v>
      </c>
      <c r="K16" s="14" t="s">
        <v>17</v>
      </c>
      <c r="L16" s="15" t="s">
        <v>21</v>
      </c>
      <c r="M16" s="15"/>
      <c r="N16" s="16" t="s">
        <v>375</v>
      </c>
      <c r="O16" s="14"/>
    </row>
    <row r="17" spans="1:15" ht="51" x14ac:dyDescent="0.25">
      <c r="A17" s="13" t="s">
        <v>116</v>
      </c>
      <c r="B17" s="14" t="s">
        <v>2</v>
      </c>
      <c r="C17" s="14" t="s">
        <v>117</v>
      </c>
      <c r="D17" s="14" t="s">
        <v>118</v>
      </c>
      <c r="E17" s="14" t="s">
        <v>7</v>
      </c>
      <c r="F17" s="14" t="s">
        <v>15</v>
      </c>
      <c r="G17" s="14" t="s">
        <v>378</v>
      </c>
      <c r="H17" s="14" t="s">
        <v>119</v>
      </c>
      <c r="I17" s="14" t="s">
        <v>120</v>
      </c>
      <c r="J17" s="14" t="s">
        <v>387</v>
      </c>
      <c r="K17" s="14" t="s">
        <v>17</v>
      </c>
      <c r="L17" s="15" t="s">
        <v>21</v>
      </c>
      <c r="M17" s="15"/>
      <c r="N17" s="16" t="s">
        <v>375</v>
      </c>
      <c r="O17" s="14"/>
    </row>
    <row r="18" spans="1:15" ht="51" x14ac:dyDescent="0.25">
      <c r="A18" s="13" t="s">
        <v>121</v>
      </c>
      <c r="B18" s="14" t="s">
        <v>2</v>
      </c>
      <c r="C18" s="14" t="s">
        <v>117</v>
      </c>
      <c r="D18" s="14" t="s">
        <v>122</v>
      </c>
      <c r="E18" s="14" t="s">
        <v>7</v>
      </c>
      <c r="F18" s="14" t="s">
        <v>14</v>
      </c>
      <c r="G18" s="14" t="s">
        <v>123</v>
      </c>
      <c r="H18" s="14" t="s">
        <v>124</v>
      </c>
      <c r="I18" s="14" t="s">
        <v>125</v>
      </c>
      <c r="J18" s="14" t="s">
        <v>126</v>
      </c>
      <c r="K18" s="14" t="s">
        <v>18</v>
      </c>
      <c r="L18" s="15" t="s">
        <v>21</v>
      </c>
      <c r="M18" s="15"/>
      <c r="N18" s="16" t="s">
        <v>375</v>
      </c>
      <c r="O18" s="14"/>
    </row>
    <row r="19" spans="1:15" ht="38.25" x14ac:dyDescent="0.25">
      <c r="A19" s="13" t="s">
        <v>127</v>
      </c>
      <c r="B19" s="14" t="s">
        <v>2</v>
      </c>
      <c r="C19" s="14" t="s">
        <v>9</v>
      </c>
      <c r="D19" s="14" t="s">
        <v>128</v>
      </c>
      <c r="E19" s="14" t="s">
        <v>9</v>
      </c>
      <c r="F19" s="14" t="s">
        <v>13</v>
      </c>
      <c r="G19" s="14" t="s">
        <v>378</v>
      </c>
      <c r="H19" s="14" t="s">
        <v>129</v>
      </c>
      <c r="I19" s="14" t="s">
        <v>130</v>
      </c>
      <c r="J19" s="14" t="s">
        <v>388</v>
      </c>
      <c r="K19" s="14" t="s">
        <v>17</v>
      </c>
      <c r="L19" s="15" t="s">
        <v>21</v>
      </c>
      <c r="M19" s="15"/>
      <c r="N19" s="16" t="s">
        <v>375</v>
      </c>
      <c r="O19" s="14"/>
    </row>
    <row r="20" spans="1:15" ht="51" x14ac:dyDescent="0.25">
      <c r="A20" s="13" t="s">
        <v>131</v>
      </c>
      <c r="B20" s="14" t="s">
        <v>2</v>
      </c>
      <c r="C20" s="14" t="s">
        <v>9</v>
      </c>
      <c r="D20" s="14" t="s">
        <v>132</v>
      </c>
      <c r="E20" s="14" t="s">
        <v>9</v>
      </c>
      <c r="F20" s="14" t="s">
        <v>13</v>
      </c>
      <c r="G20" s="14" t="s">
        <v>378</v>
      </c>
      <c r="H20" s="14" t="s">
        <v>133</v>
      </c>
      <c r="I20" s="14" t="s">
        <v>134</v>
      </c>
      <c r="J20" s="14" t="s">
        <v>389</v>
      </c>
      <c r="K20" s="14" t="s">
        <v>17</v>
      </c>
      <c r="L20" s="15" t="s">
        <v>21</v>
      </c>
      <c r="M20" s="15"/>
      <c r="N20" s="16" t="s">
        <v>375</v>
      </c>
      <c r="O20" s="14"/>
    </row>
    <row r="21" spans="1:15" ht="38.25" x14ac:dyDescent="0.25">
      <c r="A21" s="13" t="s">
        <v>135</v>
      </c>
      <c r="B21" s="14" t="s">
        <v>2</v>
      </c>
      <c r="C21" s="14" t="s">
        <v>91</v>
      </c>
      <c r="D21" s="14" t="s">
        <v>136</v>
      </c>
      <c r="E21" s="14" t="s">
        <v>6</v>
      </c>
      <c r="F21" s="14" t="s">
        <v>14</v>
      </c>
      <c r="G21" s="14" t="s">
        <v>378</v>
      </c>
      <c r="H21" s="14" t="s">
        <v>137</v>
      </c>
      <c r="I21" s="14" t="s">
        <v>138</v>
      </c>
      <c r="J21" s="14" t="s">
        <v>139</v>
      </c>
      <c r="K21" s="14" t="s">
        <v>18</v>
      </c>
      <c r="L21" s="15" t="s">
        <v>21</v>
      </c>
      <c r="M21" s="15"/>
      <c r="N21" s="16" t="s">
        <v>375</v>
      </c>
      <c r="O21" s="14"/>
    </row>
    <row r="22" spans="1:15" ht="38.25" x14ac:dyDescent="0.25">
      <c r="A22" s="13" t="s">
        <v>140</v>
      </c>
      <c r="B22" s="14" t="s">
        <v>2</v>
      </c>
      <c r="C22" s="14" t="s">
        <v>48</v>
      </c>
      <c r="D22" s="14" t="s">
        <v>141</v>
      </c>
      <c r="E22" s="14" t="s">
        <v>5</v>
      </c>
      <c r="F22" s="14" t="s">
        <v>15</v>
      </c>
      <c r="G22" s="14" t="s">
        <v>60</v>
      </c>
      <c r="H22" s="14" t="s">
        <v>61</v>
      </c>
      <c r="I22" s="14" t="s">
        <v>142</v>
      </c>
      <c r="J22" s="14" t="s">
        <v>390</v>
      </c>
      <c r="K22" s="14" t="s">
        <v>17</v>
      </c>
      <c r="L22" s="15" t="s">
        <v>21</v>
      </c>
      <c r="M22" s="15"/>
      <c r="N22" s="16" t="s">
        <v>375</v>
      </c>
      <c r="O22" s="14"/>
    </row>
    <row r="23" spans="1:15" ht="51" x14ac:dyDescent="0.25">
      <c r="A23" s="13" t="s">
        <v>143</v>
      </c>
      <c r="B23" s="14" t="s">
        <v>2</v>
      </c>
      <c r="C23" s="14" t="s">
        <v>48</v>
      </c>
      <c r="D23" s="14" t="s">
        <v>144</v>
      </c>
      <c r="E23" s="14" t="s">
        <v>7</v>
      </c>
      <c r="F23" s="14" t="s">
        <v>15</v>
      </c>
      <c r="G23" s="14" t="s">
        <v>378</v>
      </c>
      <c r="H23" s="14" t="s">
        <v>145</v>
      </c>
      <c r="I23" s="14" t="s">
        <v>146</v>
      </c>
      <c r="J23" s="14" t="s">
        <v>391</v>
      </c>
      <c r="K23" s="14" t="s">
        <v>18</v>
      </c>
      <c r="L23" s="15" t="s">
        <v>21</v>
      </c>
      <c r="M23" s="15"/>
      <c r="N23" s="16" t="s">
        <v>375</v>
      </c>
      <c r="O23" s="14"/>
    </row>
    <row r="24" spans="1:15" ht="38.25" x14ac:dyDescent="0.25">
      <c r="A24" s="13" t="s">
        <v>147</v>
      </c>
      <c r="B24" s="14" t="s">
        <v>2</v>
      </c>
      <c r="C24" s="14" t="s">
        <v>148</v>
      </c>
      <c r="D24" s="14" t="s">
        <v>149</v>
      </c>
      <c r="E24" s="14" t="s">
        <v>7</v>
      </c>
      <c r="F24" s="14" t="s">
        <v>14</v>
      </c>
      <c r="G24" s="14" t="s">
        <v>60</v>
      </c>
      <c r="H24" s="14" t="s">
        <v>61</v>
      </c>
      <c r="I24" s="14" t="s">
        <v>150</v>
      </c>
      <c r="J24" s="14" t="s">
        <v>151</v>
      </c>
      <c r="K24" s="14" t="s">
        <v>18</v>
      </c>
      <c r="L24" s="15" t="s">
        <v>21</v>
      </c>
      <c r="M24" s="15"/>
      <c r="N24" s="16" t="s">
        <v>375</v>
      </c>
      <c r="O24" s="14"/>
    </row>
    <row r="25" spans="1:15" ht="38.25" x14ac:dyDescent="0.25">
      <c r="A25" s="13" t="s">
        <v>152</v>
      </c>
      <c r="B25" s="14" t="s">
        <v>2</v>
      </c>
      <c r="C25" s="14" t="s">
        <v>148</v>
      </c>
      <c r="D25" s="14" t="s">
        <v>153</v>
      </c>
      <c r="E25" s="14" t="s">
        <v>7</v>
      </c>
      <c r="F25" s="14" t="s">
        <v>14</v>
      </c>
      <c r="G25" s="14" t="s">
        <v>60</v>
      </c>
      <c r="H25" s="14" t="s">
        <v>154</v>
      </c>
      <c r="I25" s="14" t="s">
        <v>155</v>
      </c>
      <c r="J25" s="14" t="s">
        <v>392</v>
      </c>
      <c r="K25" s="14" t="s">
        <v>18</v>
      </c>
      <c r="L25" s="15" t="s">
        <v>21</v>
      </c>
      <c r="M25" s="15"/>
      <c r="N25" s="16" t="s">
        <v>375</v>
      </c>
      <c r="O25" s="14" t="s">
        <v>358</v>
      </c>
    </row>
    <row r="26" spans="1:15" ht="38.25" x14ac:dyDescent="0.25">
      <c r="A26" s="13" t="s">
        <v>157</v>
      </c>
      <c r="B26" s="14" t="s">
        <v>2</v>
      </c>
      <c r="C26" s="14" t="s">
        <v>65</v>
      </c>
      <c r="D26" s="14" t="s">
        <v>158</v>
      </c>
      <c r="E26" s="14" t="s">
        <v>7</v>
      </c>
      <c r="F26" s="14" t="s">
        <v>15</v>
      </c>
      <c r="G26" s="14" t="s">
        <v>67</v>
      </c>
      <c r="H26" s="14" t="s">
        <v>50</v>
      </c>
      <c r="I26" s="14" t="s">
        <v>159</v>
      </c>
      <c r="J26" s="14" t="s">
        <v>160</v>
      </c>
      <c r="K26" s="14" t="s">
        <v>18</v>
      </c>
      <c r="L26" s="15" t="s">
        <v>21</v>
      </c>
      <c r="M26" s="15"/>
      <c r="N26" s="16" t="s">
        <v>375</v>
      </c>
      <c r="O26" s="14"/>
    </row>
    <row r="27" spans="1:15" ht="38.25" x14ac:dyDescent="0.25">
      <c r="A27" s="13" t="s">
        <v>161</v>
      </c>
      <c r="B27" s="14" t="s">
        <v>2</v>
      </c>
      <c r="C27" s="14" t="s">
        <v>9</v>
      </c>
      <c r="D27" s="14" t="s">
        <v>162</v>
      </c>
      <c r="E27" s="14" t="s">
        <v>9</v>
      </c>
      <c r="F27" s="14" t="s">
        <v>13</v>
      </c>
      <c r="G27" s="14" t="s">
        <v>60</v>
      </c>
      <c r="H27" s="14" t="s">
        <v>61</v>
      </c>
      <c r="I27" s="14" t="s">
        <v>163</v>
      </c>
      <c r="J27" s="14" t="s">
        <v>393</v>
      </c>
      <c r="K27" s="14" t="s">
        <v>18</v>
      </c>
      <c r="L27" s="19" t="s">
        <v>22</v>
      </c>
      <c r="M27" s="19" t="s">
        <v>351</v>
      </c>
      <c r="N27" s="16" t="s">
        <v>375</v>
      </c>
      <c r="O27" s="17" t="s">
        <v>365</v>
      </c>
    </row>
    <row r="28" spans="1:15" ht="38.25" x14ac:dyDescent="0.25">
      <c r="A28" s="13" t="s">
        <v>164</v>
      </c>
      <c r="B28" s="14" t="s">
        <v>2</v>
      </c>
      <c r="C28" s="14" t="s">
        <v>9</v>
      </c>
      <c r="D28" s="14" t="s">
        <v>165</v>
      </c>
      <c r="E28" s="14" t="s">
        <v>9</v>
      </c>
      <c r="F28" s="14" t="s">
        <v>14</v>
      </c>
      <c r="G28" s="14" t="s">
        <v>60</v>
      </c>
      <c r="H28" s="14" t="s">
        <v>166</v>
      </c>
      <c r="I28" s="14" t="s">
        <v>167</v>
      </c>
      <c r="J28" s="14" t="s">
        <v>168</v>
      </c>
      <c r="K28" s="14" t="s">
        <v>18</v>
      </c>
      <c r="L28" s="19" t="s">
        <v>22</v>
      </c>
      <c r="M28" s="19" t="s">
        <v>352</v>
      </c>
      <c r="N28" s="16" t="s">
        <v>375</v>
      </c>
      <c r="O28" s="17" t="s">
        <v>372</v>
      </c>
    </row>
    <row r="29" spans="1:15" ht="51" x14ac:dyDescent="0.25">
      <c r="A29" s="13" t="s">
        <v>169</v>
      </c>
      <c r="B29" s="14" t="s">
        <v>2</v>
      </c>
      <c r="C29" s="14" t="s">
        <v>65</v>
      </c>
      <c r="D29" s="14" t="s">
        <v>170</v>
      </c>
      <c r="E29" s="14" t="s">
        <v>7</v>
      </c>
      <c r="F29" s="14" t="s">
        <v>14</v>
      </c>
      <c r="G29" s="14" t="s">
        <v>67</v>
      </c>
      <c r="H29" s="14" t="s">
        <v>50</v>
      </c>
      <c r="I29" s="14" t="s">
        <v>171</v>
      </c>
      <c r="J29" s="14" t="s">
        <v>172</v>
      </c>
      <c r="K29" s="14" t="s">
        <v>18</v>
      </c>
      <c r="L29" s="15" t="s">
        <v>21</v>
      </c>
      <c r="M29" s="15"/>
      <c r="N29" s="16" t="s">
        <v>375</v>
      </c>
      <c r="O29" s="14"/>
    </row>
    <row r="30" spans="1:15" ht="38.25" x14ac:dyDescent="0.25">
      <c r="A30" s="13" t="s">
        <v>173</v>
      </c>
      <c r="B30" s="14" t="s">
        <v>2</v>
      </c>
      <c r="C30" s="14" t="s">
        <v>10</v>
      </c>
      <c r="D30" s="14" t="s">
        <v>174</v>
      </c>
      <c r="E30" s="14" t="s">
        <v>10</v>
      </c>
      <c r="F30" s="14" t="s">
        <v>14</v>
      </c>
      <c r="G30" s="14" t="s">
        <v>60</v>
      </c>
      <c r="H30" s="14" t="s">
        <v>61</v>
      </c>
      <c r="I30" s="14" t="s">
        <v>175</v>
      </c>
      <c r="J30" s="14" t="s">
        <v>394</v>
      </c>
      <c r="K30" s="14" t="s">
        <v>17</v>
      </c>
      <c r="L30" s="15" t="s">
        <v>21</v>
      </c>
      <c r="M30" s="15"/>
      <c r="N30" s="16" t="s">
        <v>375</v>
      </c>
      <c r="O30" s="14"/>
    </row>
  </sheetData>
  <conditionalFormatting sqref="F2:F30">
    <cfRule type="cellIs" dxfId="1" priority="4" operator="equal">
      <formula>"Critical"</formula>
    </cfRule>
  </conditionalFormatting>
  <dataValidations count="1">
    <dataValidation type="list" allowBlank="1" showInputMessage="1" showErrorMessage="1" sqref="L2:L30" xr:uid="{C11EC247-FBD2-45E5-AF7B-605D72FD8BFD}">
      <formula1>"Not Run,Pass,Fail,Blocked,Skipped"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B7AD-87DD-4B50-A51B-678235645026}">
  <dimension ref="A1:O35"/>
  <sheetViews>
    <sheetView topLeftCell="D24" workbookViewId="0">
      <selection activeCell="O32" sqref="O32"/>
    </sheetView>
  </sheetViews>
  <sheetFormatPr defaultRowHeight="15" x14ac:dyDescent="0.25"/>
  <cols>
    <col min="1" max="1" width="14.28515625" customWidth="1"/>
    <col min="3" max="3" width="13.140625" customWidth="1"/>
    <col min="4" max="4" width="25" customWidth="1"/>
    <col min="5" max="5" width="14" customWidth="1"/>
    <col min="7" max="7" width="27.42578125" customWidth="1"/>
    <col min="8" max="8" width="26" customWidth="1"/>
    <col min="9" max="10" width="34.85546875" customWidth="1"/>
    <col min="11" max="11" width="12.7109375" customWidth="1"/>
    <col min="12" max="12" width="14.5703125" customWidth="1"/>
    <col min="13" max="13" width="21" bestFit="1" customWidth="1"/>
    <col min="14" max="14" width="24.140625" customWidth="1"/>
    <col min="15" max="15" width="30.140625" customWidth="1"/>
  </cols>
  <sheetData>
    <row r="1" spans="1:15" x14ac:dyDescent="0.25">
      <c r="A1" s="12" t="s">
        <v>36</v>
      </c>
      <c r="B1" s="12" t="s">
        <v>37</v>
      </c>
      <c r="C1" s="12" t="s">
        <v>38</v>
      </c>
      <c r="D1" s="12" t="s">
        <v>39</v>
      </c>
      <c r="E1" s="12" t="s">
        <v>32</v>
      </c>
      <c r="F1" s="12" t="s">
        <v>33</v>
      </c>
      <c r="G1" s="12" t="s">
        <v>40</v>
      </c>
      <c r="H1" s="12" t="s">
        <v>41</v>
      </c>
      <c r="I1" s="12" t="s">
        <v>42</v>
      </c>
      <c r="J1" s="12" t="s">
        <v>43</v>
      </c>
      <c r="K1" s="12" t="s">
        <v>34</v>
      </c>
      <c r="L1" s="12" t="s">
        <v>413</v>
      </c>
      <c r="M1" s="12" t="s">
        <v>44</v>
      </c>
      <c r="N1" s="12" t="s">
        <v>45</v>
      </c>
      <c r="O1" s="12" t="s">
        <v>46</v>
      </c>
    </row>
    <row r="2" spans="1:15" ht="51" x14ac:dyDescent="0.25">
      <c r="A2" s="13" t="s">
        <v>176</v>
      </c>
      <c r="B2" s="14" t="s">
        <v>3</v>
      </c>
      <c r="C2" s="14" t="s">
        <v>177</v>
      </c>
      <c r="D2" s="14" t="s">
        <v>178</v>
      </c>
      <c r="E2" s="14" t="s">
        <v>5</v>
      </c>
      <c r="F2" s="14" t="s">
        <v>12</v>
      </c>
      <c r="G2" s="14" t="s">
        <v>378</v>
      </c>
      <c r="H2" s="14" t="s">
        <v>179</v>
      </c>
      <c r="I2" s="14" t="s">
        <v>180</v>
      </c>
      <c r="J2" s="14" t="s">
        <v>395</v>
      </c>
      <c r="K2" s="14" t="s">
        <v>17</v>
      </c>
      <c r="L2" s="19" t="s">
        <v>21</v>
      </c>
      <c r="M2" s="19"/>
      <c r="N2" s="16" t="s">
        <v>375</v>
      </c>
      <c r="O2" s="14"/>
    </row>
    <row r="3" spans="1:15" ht="38.25" x14ac:dyDescent="0.25">
      <c r="A3" s="13" t="s">
        <v>181</v>
      </c>
      <c r="B3" s="14" t="s">
        <v>3</v>
      </c>
      <c r="C3" s="14" t="s">
        <v>177</v>
      </c>
      <c r="D3" s="14" t="s">
        <v>182</v>
      </c>
      <c r="E3" s="14" t="s">
        <v>5</v>
      </c>
      <c r="F3" s="14" t="s">
        <v>12</v>
      </c>
      <c r="G3" s="14" t="s">
        <v>67</v>
      </c>
      <c r="H3" s="14" t="s">
        <v>183</v>
      </c>
      <c r="I3" s="14" t="s">
        <v>184</v>
      </c>
      <c r="J3" s="14" t="s">
        <v>185</v>
      </c>
      <c r="K3" s="14" t="s">
        <v>17</v>
      </c>
      <c r="L3" s="19" t="s">
        <v>21</v>
      </c>
      <c r="M3" s="19"/>
      <c r="N3" s="16" t="s">
        <v>375</v>
      </c>
      <c r="O3" s="14"/>
    </row>
    <row r="4" spans="1:15" ht="51" x14ac:dyDescent="0.25">
      <c r="A4" s="13" t="s">
        <v>186</v>
      </c>
      <c r="B4" s="14" t="s">
        <v>3</v>
      </c>
      <c r="C4" s="14" t="s">
        <v>187</v>
      </c>
      <c r="D4" s="14" t="s">
        <v>188</v>
      </c>
      <c r="E4" s="14" t="s">
        <v>8</v>
      </c>
      <c r="F4" s="14" t="s">
        <v>13</v>
      </c>
      <c r="G4" s="14" t="s">
        <v>189</v>
      </c>
      <c r="H4" s="14" t="s">
        <v>50</v>
      </c>
      <c r="I4" s="14" t="s">
        <v>190</v>
      </c>
      <c r="J4" s="14" t="s">
        <v>191</v>
      </c>
      <c r="K4" s="14" t="s">
        <v>17</v>
      </c>
      <c r="L4" s="19" t="s">
        <v>21</v>
      </c>
      <c r="M4" s="19"/>
      <c r="N4" s="16" t="s">
        <v>375</v>
      </c>
      <c r="O4" s="14"/>
    </row>
    <row r="5" spans="1:15" ht="38.25" x14ac:dyDescent="0.25">
      <c r="A5" s="13" t="s">
        <v>192</v>
      </c>
      <c r="B5" s="14" t="s">
        <v>3</v>
      </c>
      <c r="C5" s="14" t="s">
        <v>177</v>
      </c>
      <c r="D5" s="14" t="s">
        <v>193</v>
      </c>
      <c r="E5" s="14" t="s">
        <v>5</v>
      </c>
      <c r="F5" s="14" t="s">
        <v>13</v>
      </c>
      <c r="G5" s="14" t="s">
        <v>67</v>
      </c>
      <c r="H5" s="14" t="s">
        <v>194</v>
      </c>
      <c r="I5" s="14" t="s">
        <v>195</v>
      </c>
      <c r="J5" s="14" t="s">
        <v>396</v>
      </c>
      <c r="K5" s="14" t="s">
        <v>17</v>
      </c>
      <c r="L5" s="19" t="s">
        <v>21</v>
      </c>
      <c r="M5" s="19"/>
      <c r="N5" s="16" t="s">
        <v>375</v>
      </c>
      <c r="O5" s="14"/>
    </row>
    <row r="6" spans="1:15" ht="51" x14ac:dyDescent="0.25">
      <c r="A6" s="13" t="s">
        <v>196</v>
      </c>
      <c r="B6" s="14" t="s">
        <v>3</v>
      </c>
      <c r="C6" s="14" t="s">
        <v>177</v>
      </c>
      <c r="D6" s="14" t="s">
        <v>197</v>
      </c>
      <c r="E6" s="14" t="s">
        <v>7</v>
      </c>
      <c r="F6" s="14" t="s">
        <v>14</v>
      </c>
      <c r="G6" s="14" t="s">
        <v>67</v>
      </c>
      <c r="H6" s="14" t="s">
        <v>198</v>
      </c>
      <c r="I6" s="14" t="s">
        <v>199</v>
      </c>
      <c r="J6" s="14" t="s">
        <v>411</v>
      </c>
      <c r="K6" s="14" t="s">
        <v>17</v>
      </c>
      <c r="L6" s="19" t="s">
        <v>22</v>
      </c>
      <c r="M6" s="19" t="s">
        <v>348</v>
      </c>
      <c r="N6" s="16" t="s">
        <v>375</v>
      </c>
      <c r="O6" s="17" t="s">
        <v>366</v>
      </c>
    </row>
    <row r="7" spans="1:15" ht="38.25" x14ac:dyDescent="0.25">
      <c r="A7" s="13" t="s">
        <v>200</v>
      </c>
      <c r="B7" s="14" t="s">
        <v>3</v>
      </c>
      <c r="C7" s="14" t="s">
        <v>177</v>
      </c>
      <c r="D7" s="14" t="s">
        <v>201</v>
      </c>
      <c r="E7" s="14" t="s">
        <v>7</v>
      </c>
      <c r="F7" s="14" t="s">
        <v>14</v>
      </c>
      <c r="G7" s="14" t="s">
        <v>378</v>
      </c>
      <c r="H7" s="14" t="s">
        <v>202</v>
      </c>
      <c r="I7" s="14" t="s">
        <v>203</v>
      </c>
      <c r="J7" s="14" t="s">
        <v>397</v>
      </c>
      <c r="K7" s="14" t="s">
        <v>18</v>
      </c>
      <c r="L7" s="19" t="s">
        <v>21</v>
      </c>
      <c r="M7" s="19"/>
      <c r="N7" s="16" t="s">
        <v>375</v>
      </c>
      <c r="O7" s="14"/>
    </row>
    <row r="8" spans="1:15" ht="51" x14ac:dyDescent="0.25">
      <c r="A8" s="13" t="s">
        <v>204</v>
      </c>
      <c r="B8" s="14" t="s">
        <v>3</v>
      </c>
      <c r="C8" s="14" t="s">
        <v>177</v>
      </c>
      <c r="D8" s="14" t="s">
        <v>205</v>
      </c>
      <c r="E8" s="14" t="s">
        <v>5</v>
      </c>
      <c r="F8" s="14" t="s">
        <v>14</v>
      </c>
      <c r="G8" s="14" t="s">
        <v>378</v>
      </c>
      <c r="H8" s="14" t="s">
        <v>206</v>
      </c>
      <c r="I8" s="14" t="s">
        <v>207</v>
      </c>
      <c r="J8" s="14" t="s">
        <v>208</v>
      </c>
      <c r="K8" s="14" t="s">
        <v>18</v>
      </c>
      <c r="L8" s="19" t="s">
        <v>21</v>
      </c>
      <c r="M8" s="19"/>
      <c r="N8" s="16" t="s">
        <v>375</v>
      </c>
      <c r="O8" s="14"/>
    </row>
    <row r="9" spans="1:15" ht="38.25" x14ac:dyDescent="0.25">
      <c r="A9" s="13" t="s">
        <v>209</v>
      </c>
      <c r="B9" s="14" t="s">
        <v>3</v>
      </c>
      <c r="C9" s="14" t="s">
        <v>210</v>
      </c>
      <c r="D9" s="14" t="s">
        <v>211</v>
      </c>
      <c r="E9" s="14" t="s">
        <v>5</v>
      </c>
      <c r="F9" s="14" t="s">
        <v>13</v>
      </c>
      <c r="G9" s="14" t="s">
        <v>378</v>
      </c>
      <c r="H9" s="14" t="s">
        <v>50</v>
      </c>
      <c r="I9" s="14" t="s">
        <v>212</v>
      </c>
      <c r="J9" s="14" t="s">
        <v>213</v>
      </c>
      <c r="K9" s="14" t="s">
        <v>17</v>
      </c>
      <c r="L9" s="19" t="s">
        <v>21</v>
      </c>
      <c r="M9" s="19"/>
      <c r="N9" s="16" t="s">
        <v>375</v>
      </c>
      <c r="O9" s="14"/>
    </row>
    <row r="10" spans="1:15" ht="25.5" x14ac:dyDescent="0.25">
      <c r="A10" s="13" t="s">
        <v>214</v>
      </c>
      <c r="B10" s="14" t="s">
        <v>3</v>
      </c>
      <c r="C10" s="14" t="s">
        <v>187</v>
      </c>
      <c r="D10" s="14" t="s">
        <v>215</v>
      </c>
      <c r="E10" s="14" t="s">
        <v>5</v>
      </c>
      <c r="F10" s="14" t="s">
        <v>14</v>
      </c>
      <c r="G10" s="14" t="s">
        <v>216</v>
      </c>
      <c r="H10" s="14" t="s">
        <v>50</v>
      </c>
      <c r="I10" s="14" t="s">
        <v>217</v>
      </c>
      <c r="J10" s="17" t="s">
        <v>218</v>
      </c>
      <c r="K10" s="14" t="s">
        <v>17</v>
      </c>
      <c r="L10" s="19" t="s">
        <v>21</v>
      </c>
      <c r="M10" s="19"/>
      <c r="N10" s="16" t="s">
        <v>375</v>
      </c>
      <c r="O10" s="14"/>
    </row>
    <row r="11" spans="1:15" ht="25.5" x14ac:dyDescent="0.25">
      <c r="A11" s="13" t="s">
        <v>219</v>
      </c>
      <c r="B11" s="14" t="s">
        <v>3</v>
      </c>
      <c r="C11" s="14" t="s">
        <v>220</v>
      </c>
      <c r="D11" s="14" t="s">
        <v>221</v>
      </c>
      <c r="E11" s="14" t="s">
        <v>5</v>
      </c>
      <c r="F11" s="14" t="s">
        <v>13</v>
      </c>
      <c r="G11" s="14" t="s">
        <v>222</v>
      </c>
      <c r="H11" s="14" t="s">
        <v>50</v>
      </c>
      <c r="I11" s="14" t="s">
        <v>223</v>
      </c>
      <c r="J11" s="14" t="s">
        <v>398</v>
      </c>
      <c r="K11" s="14" t="s">
        <v>17</v>
      </c>
      <c r="L11" s="19" t="s">
        <v>21</v>
      </c>
      <c r="M11" s="19"/>
      <c r="N11" s="16" t="s">
        <v>375</v>
      </c>
      <c r="O11" s="14"/>
    </row>
    <row r="12" spans="1:15" ht="38.25" x14ac:dyDescent="0.25">
      <c r="A12" s="13" t="s">
        <v>224</v>
      </c>
      <c r="B12" s="14" t="s">
        <v>3</v>
      </c>
      <c r="C12" s="14" t="s">
        <v>220</v>
      </c>
      <c r="D12" s="14" t="s">
        <v>225</v>
      </c>
      <c r="E12" s="14" t="s">
        <v>7</v>
      </c>
      <c r="F12" s="14" t="s">
        <v>14</v>
      </c>
      <c r="G12" s="14" t="s">
        <v>226</v>
      </c>
      <c r="H12" s="14" t="s">
        <v>50</v>
      </c>
      <c r="I12" s="14" t="s">
        <v>227</v>
      </c>
      <c r="J12" s="14" t="s">
        <v>228</v>
      </c>
      <c r="K12" s="14" t="s">
        <v>17</v>
      </c>
      <c r="L12" s="19" t="s">
        <v>21</v>
      </c>
      <c r="M12" s="19"/>
      <c r="N12" s="16" t="s">
        <v>375</v>
      </c>
      <c r="O12" s="14"/>
    </row>
    <row r="13" spans="1:15" ht="25.5" x14ac:dyDescent="0.25">
      <c r="A13" s="13" t="s">
        <v>229</v>
      </c>
      <c r="B13" s="14" t="s">
        <v>3</v>
      </c>
      <c r="C13" s="14" t="s">
        <v>220</v>
      </c>
      <c r="D13" s="14" t="s">
        <v>230</v>
      </c>
      <c r="E13" s="14" t="s">
        <v>7</v>
      </c>
      <c r="F13" s="14" t="s">
        <v>14</v>
      </c>
      <c r="G13" s="14" t="s">
        <v>189</v>
      </c>
      <c r="H13" s="14" t="s">
        <v>50</v>
      </c>
      <c r="I13" s="14" t="s">
        <v>231</v>
      </c>
      <c r="J13" s="14" t="s">
        <v>232</v>
      </c>
      <c r="K13" s="14" t="s">
        <v>18</v>
      </c>
      <c r="L13" s="19" t="s">
        <v>21</v>
      </c>
      <c r="M13" s="19"/>
      <c r="N13" s="16" t="s">
        <v>375</v>
      </c>
      <c r="O13" s="14"/>
    </row>
    <row r="14" spans="1:15" ht="25.5" x14ac:dyDescent="0.25">
      <c r="A14" s="13" t="s">
        <v>233</v>
      </c>
      <c r="B14" s="14" t="s">
        <v>3</v>
      </c>
      <c r="C14" s="14" t="s">
        <v>234</v>
      </c>
      <c r="D14" s="14" t="s">
        <v>235</v>
      </c>
      <c r="E14" s="14" t="s">
        <v>5</v>
      </c>
      <c r="F14" s="14" t="s">
        <v>13</v>
      </c>
      <c r="G14" s="14" t="s">
        <v>189</v>
      </c>
      <c r="H14" s="14" t="s">
        <v>50</v>
      </c>
      <c r="I14" s="14" t="s">
        <v>236</v>
      </c>
      <c r="J14" s="14" t="s">
        <v>237</v>
      </c>
      <c r="K14" s="14" t="s">
        <v>17</v>
      </c>
      <c r="L14" s="19" t="s">
        <v>21</v>
      </c>
      <c r="M14" s="19"/>
      <c r="N14" s="16" t="s">
        <v>375</v>
      </c>
      <c r="O14" s="14"/>
    </row>
    <row r="15" spans="1:15" ht="51" x14ac:dyDescent="0.25">
      <c r="A15" s="13" t="s">
        <v>238</v>
      </c>
      <c r="B15" s="14" t="s">
        <v>3</v>
      </c>
      <c r="C15" s="14" t="s">
        <v>234</v>
      </c>
      <c r="D15" s="14" t="s">
        <v>239</v>
      </c>
      <c r="E15" s="14" t="s">
        <v>5</v>
      </c>
      <c r="F15" s="14" t="s">
        <v>13</v>
      </c>
      <c r="G15" s="14" t="s">
        <v>67</v>
      </c>
      <c r="H15" s="14" t="s">
        <v>50</v>
      </c>
      <c r="I15" s="14" t="s">
        <v>240</v>
      </c>
      <c r="J15" s="14" t="s">
        <v>241</v>
      </c>
      <c r="K15" s="14" t="s">
        <v>17</v>
      </c>
      <c r="L15" s="19" t="s">
        <v>21</v>
      </c>
      <c r="M15" s="19"/>
      <c r="N15" s="16" t="s">
        <v>375</v>
      </c>
      <c r="O15" s="14"/>
    </row>
    <row r="16" spans="1:15" ht="38.25" x14ac:dyDescent="0.25">
      <c r="A16" s="13" t="s">
        <v>242</v>
      </c>
      <c r="B16" s="14" t="s">
        <v>3</v>
      </c>
      <c r="C16" s="14" t="s">
        <v>234</v>
      </c>
      <c r="D16" s="14" t="s">
        <v>243</v>
      </c>
      <c r="E16" s="14" t="s">
        <v>7</v>
      </c>
      <c r="F16" s="14" t="s">
        <v>14</v>
      </c>
      <c r="G16" s="14" t="s">
        <v>378</v>
      </c>
      <c r="H16" s="14" t="s">
        <v>50</v>
      </c>
      <c r="I16" s="14" t="s">
        <v>244</v>
      </c>
      <c r="J16" s="17" t="s">
        <v>368</v>
      </c>
      <c r="K16" s="14" t="s">
        <v>18</v>
      </c>
      <c r="L16" s="19" t="s">
        <v>21</v>
      </c>
      <c r="M16" s="19"/>
      <c r="N16" s="16" t="s">
        <v>375</v>
      </c>
      <c r="O16" s="14"/>
    </row>
    <row r="17" spans="1:15" ht="38.25" x14ac:dyDescent="0.25">
      <c r="A17" s="13" t="s">
        <v>245</v>
      </c>
      <c r="B17" s="14" t="s">
        <v>3</v>
      </c>
      <c r="C17" s="14" t="s">
        <v>9</v>
      </c>
      <c r="D17" s="14" t="s">
        <v>246</v>
      </c>
      <c r="E17" s="14" t="s">
        <v>9</v>
      </c>
      <c r="F17" s="14" t="s">
        <v>13</v>
      </c>
      <c r="G17" s="14" t="s">
        <v>247</v>
      </c>
      <c r="H17" s="14" t="s">
        <v>50</v>
      </c>
      <c r="I17" s="14" t="s">
        <v>248</v>
      </c>
      <c r="J17" s="17" t="s">
        <v>249</v>
      </c>
      <c r="K17" s="14" t="s">
        <v>17</v>
      </c>
      <c r="L17" s="19" t="s">
        <v>21</v>
      </c>
      <c r="M17" s="19"/>
      <c r="N17" s="16" t="s">
        <v>375</v>
      </c>
      <c r="O17" s="14"/>
    </row>
    <row r="18" spans="1:15" ht="38.25" x14ac:dyDescent="0.25">
      <c r="A18" s="13" t="s">
        <v>250</v>
      </c>
      <c r="B18" s="14" t="s">
        <v>3</v>
      </c>
      <c r="C18" s="14" t="s">
        <v>148</v>
      </c>
      <c r="D18" s="14" t="s">
        <v>251</v>
      </c>
      <c r="E18" s="14" t="s">
        <v>7</v>
      </c>
      <c r="F18" s="14" t="s">
        <v>14</v>
      </c>
      <c r="G18" s="14" t="s">
        <v>378</v>
      </c>
      <c r="H18" s="14" t="s">
        <v>252</v>
      </c>
      <c r="I18" s="14" t="s">
        <v>253</v>
      </c>
      <c r="J18" s="14" t="s">
        <v>399</v>
      </c>
      <c r="K18" s="14" t="s">
        <v>18</v>
      </c>
      <c r="L18" s="19" t="s">
        <v>21</v>
      </c>
      <c r="M18" s="19"/>
      <c r="N18" s="16" t="s">
        <v>375</v>
      </c>
      <c r="O18" s="14" t="s">
        <v>156</v>
      </c>
    </row>
    <row r="19" spans="1:15" ht="38.25" x14ac:dyDescent="0.25">
      <c r="A19" s="13" t="s">
        <v>254</v>
      </c>
      <c r="B19" s="14" t="s">
        <v>3</v>
      </c>
      <c r="C19" s="14" t="s">
        <v>117</v>
      </c>
      <c r="D19" s="14" t="s">
        <v>255</v>
      </c>
      <c r="E19" s="14" t="s">
        <v>7</v>
      </c>
      <c r="F19" s="14" t="s">
        <v>15</v>
      </c>
      <c r="G19" s="14" t="s">
        <v>378</v>
      </c>
      <c r="H19" s="14" t="s">
        <v>256</v>
      </c>
      <c r="I19" s="14" t="s">
        <v>257</v>
      </c>
      <c r="J19" s="14" t="s">
        <v>400</v>
      </c>
      <c r="K19" s="14" t="s">
        <v>18</v>
      </c>
      <c r="L19" s="19" t="s">
        <v>21</v>
      </c>
      <c r="M19" s="19"/>
      <c r="N19" s="16" t="s">
        <v>375</v>
      </c>
      <c r="O19" s="14"/>
    </row>
    <row r="20" spans="1:15" ht="51" x14ac:dyDescent="0.25">
      <c r="A20" s="13" t="s">
        <v>258</v>
      </c>
      <c r="B20" s="14" t="s">
        <v>3</v>
      </c>
      <c r="C20" s="14" t="s">
        <v>259</v>
      </c>
      <c r="D20" s="14" t="s">
        <v>260</v>
      </c>
      <c r="E20" s="14" t="s">
        <v>8</v>
      </c>
      <c r="F20" s="14" t="s">
        <v>13</v>
      </c>
      <c r="G20" s="14" t="s">
        <v>189</v>
      </c>
      <c r="H20" s="14" t="s">
        <v>50</v>
      </c>
      <c r="I20" s="14" t="s">
        <v>261</v>
      </c>
      <c r="J20" s="14" t="s">
        <v>401</v>
      </c>
      <c r="K20" s="14" t="s">
        <v>18</v>
      </c>
      <c r="L20" s="19" t="s">
        <v>21</v>
      </c>
      <c r="M20" s="19"/>
      <c r="N20" s="16" t="s">
        <v>375</v>
      </c>
      <c r="O20" s="14"/>
    </row>
    <row r="21" spans="1:15" ht="89.25" x14ac:dyDescent="0.25">
      <c r="A21" s="13" t="s">
        <v>262</v>
      </c>
      <c r="B21" s="14" t="s">
        <v>3</v>
      </c>
      <c r="C21" s="14" t="s">
        <v>259</v>
      </c>
      <c r="D21" s="14" t="s">
        <v>263</v>
      </c>
      <c r="E21" s="14" t="s">
        <v>5</v>
      </c>
      <c r="F21" s="14" t="s">
        <v>12</v>
      </c>
      <c r="G21" s="14" t="s">
        <v>60</v>
      </c>
      <c r="H21" s="14" t="s">
        <v>402</v>
      </c>
      <c r="I21" s="14" t="s">
        <v>264</v>
      </c>
      <c r="J21" s="20" t="s">
        <v>403</v>
      </c>
      <c r="K21" s="14" t="s">
        <v>17</v>
      </c>
      <c r="L21" s="19" t="s">
        <v>21</v>
      </c>
      <c r="M21" s="19"/>
      <c r="N21" s="16" t="s">
        <v>375</v>
      </c>
      <c r="O21" s="14" t="s">
        <v>63</v>
      </c>
    </row>
    <row r="22" spans="1:15" ht="38.25" x14ac:dyDescent="0.25">
      <c r="A22" s="13" t="s">
        <v>265</v>
      </c>
      <c r="B22" s="14" t="s">
        <v>3</v>
      </c>
      <c r="C22" s="14" t="s">
        <v>259</v>
      </c>
      <c r="D22" s="14" t="s">
        <v>266</v>
      </c>
      <c r="E22" s="14" t="s">
        <v>7</v>
      </c>
      <c r="F22" s="14" t="s">
        <v>14</v>
      </c>
      <c r="G22" s="14" t="s">
        <v>189</v>
      </c>
      <c r="H22" s="14" t="s">
        <v>267</v>
      </c>
      <c r="I22" s="14" t="s">
        <v>268</v>
      </c>
      <c r="J22" s="14" t="s">
        <v>269</v>
      </c>
      <c r="K22" s="14" t="s">
        <v>17</v>
      </c>
      <c r="L22" s="19" t="s">
        <v>21</v>
      </c>
      <c r="M22" s="19"/>
      <c r="N22" s="16" t="s">
        <v>375</v>
      </c>
      <c r="O22" s="14"/>
    </row>
    <row r="23" spans="1:15" ht="38.25" x14ac:dyDescent="0.25">
      <c r="A23" s="13" t="s">
        <v>270</v>
      </c>
      <c r="B23" s="14" t="s">
        <v>3</v>
      </c>
      <c r="C23" s="14" t="s">
        <v>271</v>
      </c>
      <c r="D23" s="14" t="s">
        <v>272</v>
      </c>
      <c r="E23" s="14" t="s">
        <v>6</v>
      </c>
      <c r="F23" s="14" t="s">
        <v>13</v>
      </c>
      <c r="G23" s="14" t="s">
        <v>189</v>
      </c>
      <c r="H23" s="14" t="s">
        <v>273</v>
      </c>
      <c r="I23" s="14" t="s">
        <v>274</v>
      </c>
      <c r="J23" s="14" t="s">
        <v>404</v>
      </c>
      <c r="K23" s="14" t="s">
        <v>17</v>
      </c>
      <c r="L23" s="19" t="s">
        <v>21</v>
      </c>
      <c r="M23" s="19"/>
      <c r="N23" s="16" t="s">
        <v>375</v>
      </c>
      <c r="O23" s="14"/>
    </row>
    <row r="24" spans="1:15" ht="38.25" x14ac:dyDescent="0.25">
      <c r="A24" s="13" t="s">
        <v>275</v>
      </c>
      <c r="B24" s="14" t="s">
        <v>3</v>
      </c>
      <c r="C24" s="14" t="s">
        <v>271</v>
      </c>
      <c r="D24" s="14" t="s">
        <v>276</v>
      </c>
      <c r="E24" s="14" t="s">
        <v>6</v>
      </c>
      <c r="F24" s="14" t="s">
        <v>13</v>
      </c>
      <c r="G24" s="14" t="s">
        <v>189</v>
      </c>
      <c r="H24" s="14" t="s">
        <v>277</v>
      </c>
      <c r="I24" s="14" t="s">
        <v>278</v>
      </c>
      <c r="J24" s="14" t="s">
        <v>404</v>
      </c>
      <c r="K24" s="14" t="s">
        <v>17</v>
      </c>
      <c r="L24" s="19" t="s">
        <v>21</v>
      </c>
      <c r="M24" s="19"/>
      <c r="N24" s="16" t="s">
        <v>375</v>
      </c>
      <c r="O24" s="14"/>
    </row>
    <row r="25" spans="1:15" ht="38.25" x14ac:dyDescent="0.25">
      <c r="A25" s="13" t="s">
        <v>279</v>
      </c>
      <c r="B25" s="14" t="s">
        <v>3</v>
      </c>
      <c r="C25" s="14" t="s">
        <v>271</v>
      </c>
      <c r="D25" s="14" t="s">
        <v>280</v>
      </c>
      <c r="E25" s="14" t="s">
        <v>6</v>
      </c>
      <c r="F25" s="14" t="s">
        <v>13</v>
      </c>
      <c r="G25" s="14" t="s">
        <v>189</v>
      </c>
      <c r="H25" s="14" t="s">
        <v>50</v>
      </c>
      <c r="I25" s="14" t="s">
        <v>281</v>
      </c>
      <c r="J25" s="14" t="s">
        <v>405</v>
      </c>
      <c r="K25" s="14" t="s">
        <v>17</v>
      </c>
      <c r="L25" s="19" t="s">
        <v>21</v>
      </c>
      <c r="M25" s="19"/>
      <c r="N25" s="16" t="s">
        <v>375</v>
      </c>
      <c r="O25" s="14"/>
    </row>
    <row r="26" spans="1:15" ht="38.25" x14ac:dyDescent="0.25">
      <c r="A26" s="13" t="s">
        <v>282</v>
      </c>
      <c r="B26" s="14" t="s">
        <v>3</v>
      </c>
      <c r="C26" s="14" t="s">
        <v>259</v>
      </c>
      <c r="D26" s="14" t="s">
        <v>283</v>
      </c>
      <c r="E26" s="14" t="s">
        <v>5</v>
      </c>
      <c r="F26" s="14" t="s">
        <v>13</v>
      </c>
      <c r="G26" s="14" t="s">
        <v>284</v>
      </c>
      <c r="H26" s="14" t="s">
        <v>50</v>
      </c>
      <c r="I26" s="14" t="s">
        <v>285</v>
      </c>
      <c r="J26" s="14" t="s">
        <v>406</v>
      </c>
      <c r="K26" s="14" t="s">
        <v>17</v>
      </c>
      <c r="L26" s="19" t="s">
        <v>21</v>
      </c>
      <c r="M26" s="19"/>
      <c r="N26" s="16" t="s">
        <v>375</v>
      </c>
      <c r="O26" s="14"/>
    </row>
    <row r="27" spans="1:15" ht="63.75" x14ac:dyDescent="0.25">
      <c r="A27" s="13" t="s">
        <v>286</v>
      </c>
      <c r="B27" s="14" t="s">
        <v>3</v>
      </c>
      <c r="C27" s="14" t="s">
        <v>271</v>
      </c>
      <c r="D27" s="14" t="s">
        <v>287</v>
      </c>
      <c r="E27" s="14" t="s">
        <v>6</v>
      </c>
      <c r="F27" s="14" t="s">
        <v>13</v>
      </c>
      <c r="G27" s="14" t="s">
        <v>288</v>
      </c>
      <c r="H27" s="14" t="s">
        <v>289</v>
      </c>
      <c r="I27" s="14" t="s">
        <v>290</v>
      </c>
      <c r="J27" s="14" t="s">
        <v>291</v>
      </c>
      <c r="K27" s="14" t="s">
        <v>17</v>
      </c>
      <c r="L27" s="19" t="s">
        <v>22</v>
      </c>
      <c r="M27" s="19" t="s">
        <v>337</v>
      </c>
      <c r="N27" s="16" t="s">
        <v>375</v>
      </c>
      <c r="O27" s="17" t="s">
        <v>369</v>
      </c>
    </row>
    <row r="28" spans="1:15" ht="38.25" x14ac:dyDescent="0.25">
      <c r="A28" s="13" t="s">
        <v>293</v>
      </c>
      <c r="B28" s="14" t="s">
        <v>3</v>
      </c>
      <c r="C28" s="14" t="s">
        <v>271</v>
      </c>
      <c r="D28" s="14" t="s">
        <v>294</v>
      </c>
      <c r="E28" s="14" t="s">
        <v>6</v>
      </c>
      <c r="F28" s="14" t="s">
        <v>13</v>
      </c>
      <c r="G28" s="14" t="s">
        <v>189</v>
      </c>
      <c r="H28" s="14" t="s">
        <v>295</v>
      </c>
      <c r="I28" s="14" t="s">
        <v>296</v>
      </c>
      <c r="J28" s="14" t="s">
        <v>297</v>
      </c>
      <c r="K28" s="14" t="s">
        <v>18</v>
      </c>
      <c r="L28" s="19" t="s">
        <v>22</v>
      </c>
      <c r="M28" s="19" t="s">
        <v>344</v>
      </c>
      <c r="N28" s="16" t="s">
        <v>375</v>
      </c>
      <c r="O28" s="17" t="s">
        <v>370</v>
      </c>
    </row>
    <row r="29" spans="1:15" ht="51" x14ac:dyDescent="0.25">
      <c r="A29" s="13" t="s">
        <v>299</v>
      </c>
      <c r="B29" s="14" t="s">
        <v>3</v>
      </c>
      <c r="C29" s="14" t="s">
        <v>271</v>
      </c>
      <c r="D29" s="14" t="s">
        <v>300</v>
      </c>
      <c r="E29" s="14" t="s">
        <v>6</v>
      </c>
      <c r="F29" s="14" t="s">
        <v>14</v>
      </c>
      <c r="G29" s="14" t="s">
        <v>189</v>
      </c>
      <c r="H29" s="14" t="s">
        <v>407</v>
      </c>
      <c r="I29" s="14" t="s">
        <v>301</v>
      </c>
      <c r="J29" s="14" t="s">
        <v>302</v>
      </c>
      <c r="K29" s="14" t="s">
        <v>18</v>
      </c>
      <c r="L29" s="19" t="s">
        <v>22</v>
      </c>
      <c r="M29" s="19" t="s">
        <v>344</v>
      </c>
      <c r="N29" s="16" t="s">
        <v>375</v>
      </c>
      <c r="O29" s="17" t="s">
        <v>367</v>
      </c>
    </row>
    <row r="30" spans="1:15" ht="38.25" x14ac:dyDescent="0.25">
      <c r="A30" s="13" t="s">
        <v>304</v>
      </c>
      <c r="B30" s="14" t="s">
        <v>3</v>
      </c>
      <c r="C30" s="14" t="s">
        <v>259</v>
      </c>
      <c r="D30" s="14" t="s">
        <v>305</v>
      </c>
      <c r="E30" s="14" t="s">
        <v>7</v>
      </c>
      <c r="F30" s="14" t="s">
        <v>15</v>
      </c>
      <c r="G30" s="14" t="s">
        <v>189</v>
      </c>
      <c r="H30" s="14" t="s">
        <v>306</v>
      </c>
      <c r="I30" s="14" t="s">
        <v>307</v>
      </c>
      <c r="J30" s="14" t="s">
        <v>308</v>
      </c>
      <c r="K30" s="14" t="s">
        <v>18</v>
      </c>
      <c r="L30" s="19" t="s">
        <v>21</v>
      </c>
      <c r="M30" s="19"/>
      <c r="N30" s="16" t="s">
        <v>375</v>
      </c>
      <c r="O30" s="14"/>
    </row>
    <row r="31" spans="1:15" ht="38.25" x14ac:dyDescent="0.25">
      <c r="A31" s="13" t="s">
        <v>309</v>
      </c>
      <c r="B31" s="14" t="s">
        <v>3</v>
      </c>
      <c r="C31" s="14" t="s">
        <v>259</v>
      </c>
      <c r="D31" s="14" t="s">
        <v>310</v>
      </c>
      <c r="E31" s="14" t="s">
        <v>5</v>
      </c>
      <c r="F31" s="14" t="s">
        <v>14</v>
      </c>
      <c r="G31" s="14" t="s">
        <v>189</v>
      </c>
      <c r="H31" s="14" t="s">
        <v>289</v>
      </c>
      <c r="I31" s="14" t="s">
        <v>311</v>
      </c>
      <c r="J31" s="14" t="s">
        <v>312</v>
      </c>
      <c r="K31" s="14" t="s">
        <v>17</v>
      </c>
      <c r="L31" s="19" t="s">
        <v>21</v>
      </c>
      <c r="M31" s="19"/>
      <c r="N31" s="16" t="s">
        <v>375</v>
      </c>
      <c r="O31" s="14"/>
    </row>
    <row r="32" spans="1:15" ht="38.25" x14ac:dyDescent="0.25">
      <c r="A32" s="13" t="s">
        <v>313</v>
      </c>
      <c r="B32" s="14" t="s">
        <v>3</v>
      </c>
      <c r="C32" s="14" t="s">
        <v>259</v>
      </c>
      <c r="D32" s="14" t="s">
        <v>314</v>
      </c>
      <c r="E32" s="14" t="s">
        <v>5</v>
      </c>
      <c r="F32" s="14" t="s">
        <v>14</v>
      </c>
      <c r="G32" s="14" t="s">
        <v>189</v>
      </c>
      <c r="H32" s="14" t="s">
        <v>50</v>
      </c>
      <c r="I32" s="14" t="s">
        <v>315</v>
      </c>
      <c r="J32" s="14" t="s">
        <v>316</v>
      </c>
      <c r="K32" s="14" t="s">
        <v>18</v>
      </c>
      <c r="L32" s="19" t="s">
        <v>21</v>
      </c>
      <c r="M32" s="19"/>
      <c r="N32" s="16" t="s">
        <v>375</v>
      </c>
      <c r="O32" s="14"/>
    </row>
    <row r="33" spans="1:15" ht="38.25" x14ac:dyDescent="0.25">
      <c r="A33" s="13" t="s">
        <v>317</v>
      </c>
      <c r="B33" s="14" t="s">
        <v>3</v>
      </c>
      <c r="C33" s="14" t="s">
        <v>148</v>
      </c>
      <c r="D33" s="14" t="s">
        <v>318</v>
      </c>
      <c r="E33" s="14" t="s">
        <v>7</v>
      </c>
      <c r="F33" s="14" t="s">
        <v>14</v>
      </c>
      <c r="G33" s="14" t="s">
        <v>189</v>
      </c>
      <c r="H33" s="14" t="s">
        <v>289</v>
      </c>
      <c r="I33" s="14" t="s">
        <v>319</v>
      </c>
      <c r="J33" s="14" t="s">
        <v>320</v>
      </c>
      <c r="K33" s="14" t="s">
        <v>18</v>
      </c>
      <c r="L33" s="19" t="s">
        <v>21</v>
      </c>
      <c r="M33" s="19"/>
      <c r="N33" s="16" t="s">
        <v>375</v>
      </c>
      <c r="O33" s="14"/>
    </row>
    <row r="34" spans="1:15" ht="25.5" x14ac:dyDescent="0.25">
      <c r="A34" s="18" t="s">
        <v>321</v>
      </c>
      <c r="B34" s="14" t="s">
        <v>3</v>
      </c>
      <c r="C34" s="14" t="s">
        <v>259</v>
      </c>
      <c r="D34" s="17" t="s">
        <v>322</v>
      </c>
      <c r="E34" s="14" t="s">
        <v>5</v>
      </c>
      <c r="F34" s="14" t="s">
        <v>14</v>
      </c>
      <c r="G34" s="14" t="s">
        <v>408</v>
      </c>
      <c r="H34" s="14" t="s">
        <v>289</v>
      </c>
      <c r="I34" s="17" t="s">
        <v>323</v>
      </c>
      <c r="J34" s="17" t="s">
        <v>373</v>
      </c>
      <c r="K34" s="14" t="s">
        <v>18</v>
      </c>
      <c r="L34" s="19" t="s">
        <v>22</v>
      </c>
      <c r="M34" s="19" t="s">
        <v>416</v>
      </c>
      <c r="N34" s="16" t="s">
        <v>375</v>
      </c>
      <c r="O34" s="17" t="s">
        <v>363</v>
      </c>
    </row>
    <row r="35" spans="1:15" ht="51" x14ac:dyDescent="0.25">
      <c r="A35" s="13" t="s">
        <v>324</v>
      </c>
      <c r="B35" s="14" t="s">
        <v>3</v>
      </c>
      <c r="C35" s="14" t="s">
        <v>271</v>
      </c>
      <c r="D35" s="14" t="s">
        <v>325</v>
      </c>
      <c r="E35" s="14" t="s">
        <v>6</v>
      </c>
      <c r="F35" s="14" t="s">
        <v>14</v>
      </c>
      <c r="G35" s="14" t="s">
        <v>189</v>
      </c>
      <c r="H35" s="14" t="s">
        <v>137</v>
      </c>
      <c r="I35" s="14" t="s">
        <v>326</v>
      </c>
      <c r="J35" s="14" t="s">
        <v>327</v>
      </c>
      <c r="K35" s="14" t="s">
        <v>18</v>
      </c>
      <c r="L35" s="19" t="s">
        <v>21</v>
      </c>
      <c r="M35" s="19"/>
      <c r="N35" s="16" t="s">
        <v>375</v>
      </c>
      <c r="O35" s="14"/>
    </row>
  </sheetData>
  <conditionalFormatting sqref="F2:F35">
    <cfRule type="cellIs" dxfId="0" priority="4" operator="equal">
      <formula>"Critical"</formula>
    </cfRule>
  </conditionalFormatting>
  <dataValidations count="1">
    <dataValidation type="list" allowBlank="1" showInputMessage="1" showErrorMessage="1" sqref="L2:L35" xr:uid="{A5D01387-C3E8-49C3-8102-92B3BB9FC132}">
      <formula1>"Not Run,Pass,Fail,Blocked,Skipped"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927F-337C-4496-BFD2-3DCD3DCE62E3}">
  <dimension ref="A1:G9"/>
  <sheetViews>
    <sheetView tabSelected="1" workbookViewId="0">
      <selection activeCell="G16" sqref="G16"/>
    </sheetView>
  </sheetViews>
  <sheetFormatPr defaultColWidth="8.7109375" defaultRowHeight="15" x14ac:dyDescent="0.25"/>
  <cols>
    <col min="1" max="1" width="10" customWidth="1"/>
    <col min="2" max="2" width="40" customWidth="1"/>
    <col min="3" max="3" width="10" customWidth="1"/>
    <col min="4" max="4" width="16" customWidth="1"/>
    <col min="5" max="5" width="50" customWidth="1"/>
    <col min="6" max="6" width="36" customWidth="1"/>
    <col min="7" max="7" width="40" customWidth="1"/>
  </cols>
  <sheetData>
    <row r="1" spans="1:7" x14ac:dyDescent="0.25">
      <c r="A1" s="12" t="s">
        <v>328</v>
      </c>
      <c r="B1" s="12" t="s">
        <v>39</v>
      </c>
      <c r="C1" s="12" t="s">
        <v>329</v>
      </c>
      <c r="D1" s="12" t="s">
        <v>330</v>
      </c>
      <c r="E1" s="12" t="s">
        <v>331</v>
      </c>
      <c r="F1" s="12" t="s">
        <v>332</v>
      </c>
      <c r="G1" s="12" t="s">
        <v>333</v>
      </c>
    </row>
    <row r="2" spans="1:7" ht="25.5" x14ac:dyDescent="0.25">
      <c r="A2" s="18" t="s">
        <v>292</v>
      </c>
      <c r="B2" s="14" t="s">
        <v>345</v>
      </c>
      <c r="C2" s="14" t="s">
        <v>15</v>
      </c>
      <c r="D2" s="14" t="s">
        <v>196</v>
      </c>
      <c r="E2" s="14" t="s">
        <v>346</v>
      </c>
      <c r="F2" s="14" t="s">
        <v>347</v>
      </c>
      <c r="G2" s="14" t="s">
        <v>348</v>
      </c>
    </row>
    <row r="3" spans="1:7" ht="51" x14ac:dyDescent="0.25">
      <c r="A3" s="18" t="s">
        <v>298</v>
      </c>
      <c r="B3" s="14" t="s">
        <v>334</v>
      </c>
      <c r="C3" s="14" t="s">
        <v>13</v>
      </c>
      <c r="D3" s="14" t="s">
        <v>286</v>
      </c>
      <c r="E3" s="14" t="s">
        <v>335</v>
      </c>
      <c r="F3" s="14" t="s">
        <v>336</v>
      </c>
      <c r="G3" s="14" t="s">
        <v>337</v>
      </c>
    </row>
    <row r="4" spans="1:7" ht="38.25" x14ac:dyDescent="0.25">
      <c r="A4" s="18" t="s">
        <v>303</v>
      </c>
      <c r="B4" s="14" t="s">
        <v>338</v>
      </c>
      <c r="C4" s="14" t="s">
        <v>13</v>
      </c>
      <c r="D4" s="14" t="s">
        <v>293</v>
      </c>
      <c r="E4" s="14" t="s">
        <v>339</v>
      </c>
      <c r="F4" s="14" t="s">
        <v>340</v>
      </c>
      <c r="G4" s="14" t="s">
        <v>344</v>
      </c>
    </row>
    <row r="5" spans="1:7" ht="25.5" x14ac:dyDescent="0.25">
      <c r="A5" s="18" t="s">
        <v>359</v>
      </c>
      <c r="B5" s="14" t="s">
        <v>341</v>
      </c>
      <c r="C5" s="14" t="s">
        <v>14</v>
      </c>
      <c r="D5" s="14" t="s">
        <v>299</v>
      </c>
      <c r="E5" s="14" t="s">
        <v>342</v>
      </c>
      <c r="F5" s="14" t="s">
        <v>343</v>
      </c>
      <c r="G5" s="14" t="s">
        <v>344</v>
      </c>
    </row>
    <row r="6" spans="1:7" ht="25.5" x14ac:dyDescent="0.25">
      <c r="A6" s="18" t="s">
        <v>360</v>
      </c>
      <c r="B6" s="17" t="s">
        <v>322</v>
      </c>
      <c r="C6" s="14" t="s">
        <v>14</v>
      </c>
      <c r="D6" s="17" t="s">
        <v>321</v>
      </c>
      <c r="E6" s="17" t="s">
        <v>323</v>
      </c>
      <c r="F6" s="17" t="s">
        <v>373</v>
      </c>
      <c r="G6" s="17" t="s">
        <v>416</v>
      </c>
    </row>
    <row r="7" spans="1:7" ht="38.25" x14ac:dyDescent="0.25">
      <c r="A7" s="13" t="s">
        <v>361</v>
      </c>
      <c r="B7" s="14" t="s">
        <v>356</v>
      </c>
      <c r="C7" s="14" t="s">
        <v>14</v>
      </c>
      <c r="D7" s="14" t="s">
        <v>77</v>
      </c>
      <c r="E7" s="14" t="s">
        <v>80</v>
      </c>
      <c r="F7" s="14" t="s">
        <v>357</v>
      </c>
      <c r="G7" s="14" t="s">
        <v>355</v>
      </c>
    </row>
    <row r="8" spans="1:7" ht="25.5" x14ac:dyDescent="0.25">
      <c r="A8" s="13" t="s">
        <v>362</v>
      </c>
      <c r="B8" s="14" t="s">
        <v>349</v>
      </c>
      <c r="C8" s="14" t="s">
        <v>14</v>
      </c>
      <c r="D8" s="14" t="s">
        <v>161</v>
      </c>
      <c r="E8" s="14" t="s">
        <v>350</v>
      </c>
      <c r="F8" s="14" t="s">
        <v>409</v>
      </c>
      <c r="G8" s="14" t="s">
        <v>351</v>
      </c>
    </row>
    <row r="9" spans="1:7" ht="25.5" x14ac:dyDescent="0.25">
      <c r="A9" s="13" t="s">
        <v>371</v>
      </c>
      <c r="B9" s="14" t="s">
        <v>352</v>
      </c>
      <c r="C9" s="14" t="s">
        <v>14</v>
      </c>
      <c r="D9" s="14" t="s">
        <v>164</v>
      </c>
      <c r="E9" s="14" t="s">
        <v>353</v>
      </c>
      <c r="F9" s="14" t="s">
        <v>354</v>
      </c>
      <c r="G9" s="14" t="s">
        <v>352</v>
      </c>
    </row>
  </sheetData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Legend</vt:lpstr>
      <vt:lpstr>Login</vt:lpstr>
      <vt:lpstr>Cart</vt:lpstr>
      <vt:lpstr>Defects &amp;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Nguyen</dc:creator>
  <cp:lastModifiedBy>Tri Nguyen</cp:lastModifiedBy>
  <dcterms:created xsi:type="dcterms:W3CDTF">2026-10-12T11:18:16Z</dcterms:created>
  <dcterms:modified xsi:type="dcterms:W3CDTF">2026-10-12T12:59:18Z</dcterms:modified>
</cp:coreProperties>
</file>